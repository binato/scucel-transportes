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tables/table105.xml" ContentType="application/vnd.openxmlformats-officedocument.spreadsheetml.table+xml"/>
  <Override PartName="/xl/tables/table106.xml" ContentType="application/vnd.openxmlformats-officedocument.spreadsheetml.table+xml"/>
  <Override PartName="/xl/tables/table107.xml" ContentType="application/vnd.openxmlformats-officedocument.spreadsheetml.table+xml"/>
  <Override PartName="/xl/tables/table108.xml" ContentType="application/vnd.openxmlformats-officedocument.spreadsheetml.table+xml"/>
  <Override PartName="/xl/tables/table109.xml" ContentType="application/vnd.openxmlformats-officedocument.spreadsheetml.table+xml"/>
  <Override PartName="/xl/tables/table110.xml" ContentType="application/vnd.openxmlformats-officedocument.spreadsheetml.table+xml"/>
  <Override PartName="/xl/tables/table111.xml" ContentType="application/vnd.openxmlformats-officedocument.spreadsheetml.table+xml"/>
  <Override PartName="/xl/tables/table112.xml" ContentType="application/vnd.openxmlformats-officedocument.spreadsheetml.table+xml"/>
  <Override PartName="/xl/tables/table113.xml" ContentType="application/vnd.openxmlformats-officedocument.spreadsheetml.table+xml"/>
  <Override PartName="/xl/tables/table114.xml" ContentType="application/vnd.openxmlformats-officedocument.spreadsheetml.table+xml"/>
  <Override PartName="/xl/tables/table115.xml" ContentType="application/vnd.openxmlformats-officedocument.spreadsheetml.table+xml"/>
  <Override PartName="/xl/tables/table116.xml" ContentType="application/vnd.openxmlformats-officedocument.spreadsheetml.table+xml"/>
  <Override PartName="/xl/tables/table117.xml" ContentType="application/vnd.openxmlformats-officedocument.spreadsheetml.table+xml"/>
  <Override PartName="/xl/tables/table118.xml" ContentType="application/vnd.openxmlformats-officedocument.spreadsheetml.table+xml"/>
  <Override PartName="/xl/tables/table119.xml" ContentType="application/vnd.openxmlformats-officedocument.spreadsheetml.table+xml"/>
  <Override PartName="/xl/tables/table120.xml" ContentType="application/vnd.openxmlformats-officedocument.spreadsheetml.table+xml"/>
  <Override PartName="/xl/tables/table121.xml" ContentType="application/vnd.openxmlformats-officedocument.spreadsheetml.table+xml"/>
  <Override PartName="/xl/tables/table122.xml" ContentType="application/vnd.openxmlformats-officedocument.spreadsheetml.table+xml"/>
  <Override PartName="/xl/tables/table123.xml" ContentType="application/vnd.openxmlformats-officedocument.spreadsheetml.table+xml"/>
  <Override PartName="/xl/tables/table12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gatha Informática\Desktop\CAMINHÃO\THIAGO\"/>
    </mc:Choice>
  </mc:AlternateContent>
  <bookViews>
    <workbookView xWindow="0" yWindow="0" windowWidth="28800" windowHeight="11775"/>
  </bookViews>
  <sheets>
    <sheet name="THIAGO-2026" sheetId="1" r:id="rId1"/>
    <sheet name="AGO-DEZ-26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N227" i="1" l="1"/>
  <c r="BK227" i="1"/>
  <c r="BI224" i="1"/>
  <c r="BK223" i="1"/>
  <c r="BK171" i="1"/>
  <c r="BK161" i="1"/>
  <c r="BK141" i="1"/>
  <c r="BM141" i="1" s="1"/>
  <c r="BK135" i="1" l="1"/>
  <c r="BM122" i="1"/>
  <c r="BI122" i="1"/>
  <c r="BK122" i="1" s="1"/>
  <c r="BI123" i="1"/>
  <c r="BM32" i="1"/>
  <c r="BK35" i="1"/>
  <c r="BK33" i="1"/>
  <c r="BK20" i="1"/>
  <c r="BK66" i="1"/>
  <c r="BM57" i="1"/>
  <c r="BK49" i="1"/>
  <c r="BK50" i="1"/>
  <c r="BM50" i="1" s="1"/>
  <c r="BK51" i="1"/>
  <c r="BM51" i="1" s="1"/>
  <c r="BK52" i="1"/>
  <c r="BM52" i="1" s="1"/>
  <c r="BK53" i="1"/>
  <c r="BM53" i="1" s="1"/>
  <c r="BK54" i="1"/>
  <c r="BM54" i="1" s="1"/>
  <c r="BK55" i="1"/>
  <c r="BM55" i="1" s="1"/>
  <c r="BK58" i="1"/>
  <c r="BM58" i="1" s="1"/>
  <c r="BI50" i="1"/>
  <c r="BI51" i="1"/>
  <c r="BI52" i="1"/>
  <c r="BI53" i="1"/>
  <c r="BI54" i="1"/>
  <c r="BI55" i="1"/>
  <c r="BI56" i="1"/>
  <c r="BI57" i="1"/>
  <c r="BI58" i="1"/>
  <c r="BI59" i="1"/>
  <c r="BM223" i="1"/>
  <c r="BK210" i="1"/>
  <c r="BI211" i="1"/>
  <c r="BK211" i="1" s="1"/>
  <c r="BM211" i="1" s="1"/>
  <c r="BI212" i="1"/>
  <c r="BK212" i="1" s="1"/>
  <c r="BM212" i="1" s="1"/>
  <c r="BI213" i="1"/>
  <c r="BI214" i="1"/>
  <c r="BI215" i="1"/>
  <c r="BK215" i="1" s="1"/>
  <c r="BM215" i="1" s="1"/>
  <c r="BI216" i="1"/>
  <c r="BI217" i="1"/>
  <c r="BI218" i="1"/>
  <c r="BI219" i="1"/>
  <c r="BK219" i="1" s="1"/>
  <c r="BM219" i="1" s="1"/>
  <c r="BI220" i="1"/>
  <c r="BK220" i="1" s="1"/>
  <c r="BM220" i="1" s="1"/>
  <c r="BI221" i="1"/>
  <c r="BI222" i="1"/>
  <c r="BI223" i="1"/>
  <c r="BM214" i="1"/>
  <c r="BK216" i="1"/>
  <c r="BM216" i="1" s="1"/>
  <c r="BM218" i="1"/>
  <c r="BM49" i="1" l="1"/>
  <c r="BM3" i="1"/>
  <c r="BM4" i="1"/>
  <c r="BM5" i="1"/>
  <c r="BM6" i="1"/>
  <c r="BM20" i="1"/>
  <c r="BK3" i="1"/>
  <c r="BK4" i="1"/>
  <c r="BK5" i="1"/>
  <c r="BK6" i="1"/>
  <c r="BI4" i="1"/>
  <c r="BI5" i="1"/>
  <c r="BI6" i="1"/>
  <c r="BI7" i="1"/>
  <c r="BL20" i="1"/>
  <c r="BN20" i="1"/>
  <c r="BO20" i="1"/>
  <c r="BM206" i="1"/>
  <c r="BK206" i="1"/>
  <c r="BM210" i="1" l="1"/>
  <c r="BN89" i="1" l="1"/>
  <c r="BO89" i="1"/>
  <c r="BM72" i="1"/>
  <c r="BM74" i="1"/>
  <c r="BM75" i="1"/>
  <c r="BM78" i="1"/>
  <c r="BK89" i="1"/>
  <c r="BL89" i="1"/>
  <c r="BM89" i="1" s="1"/>
  <c r="BK72" i="1"/>
  <c r="BK75" i="1"/>
  <c r="BK78" i="1"/>
  <c r="BI73" i="1"/>
  <c r="BI74" i="1"/>
  <c r="BI75" i="1"/>
  <c r="BI76" i="1"/>
  <c r="BI77" i="1"/>
  <c r="BI78" i="1"/>
  <c r="BI79" i="1"/>
  <c r="BO161" i="1" l="1"/>
  <c r="BN161" i="1"/>
  <c r="BL161" i="1"/>
  <c r="BK140" i="1"/>
  <c r="BM140" i="1" s="1"/>
  <c r="BM143" i="1"/>
  <c r="BK144" i="1"/>
  <c r="BM147" i="1"/>
  <c r="BM151" i="1"/>
  <c r="BM156" i="1"/>
  <c r="BK158" i="1"/>
  <c r="BK159" i="1"/>
  <c r="BM159" i="1" s="1"/>
  <c r="BM144" i="1"/>
  <c r="BM158" i="1"/>
  <c r="BI141" i="1"/>
  <c r="BI142" i="1"/>
  <c r="BI143" i="1"/>
  <c r="BI144" i="1"/>
  <c r="BI145" i="1"/>
  <c r="BK145" i="1" s="1"/>
  <c r="BM145" i="1" s="1"/>
  <c r="BI146" i="1"/>
  <c r="BI147" i="1"/>
  <c r="BI148" i="1"/>
  <c r="BI149" i="1"/>
  <c r="BM149" i="1" s="1"/>
  <c r="BI150" i="1"/>
  <c r="BI151" i="1"/>
  <c r="BI152" i="1"/>
  <c r="BI153" i="1"/>
  <c r="BM153" i="1" s="1"/>
  <c r="BI154" i="1"/>
  <c r="BI155" i="1"/>
  <c r="BI156" i="1"/>
  <c r="BI157" i="1"/>
  <c r="BK157" i="1" s="1"/>
  <c r="BM157" i="1" s="1"/>
  <c r="BI158" i="1"/>
  <c r="BI159" i="1"/>
  <c r="BI160" i="1"/>
  <c r="BI120" i="1"/>
  <c r="BL135" i="1"/>
  <c r="BM135" i="1" s="1"/>
  <c r="BN135" i="1"/>
  <c r="BO135" i="1"/>
  <c r="BM161" i="1" l="1"/>
  <c r="K218" i="3"/>
  <c r="I218" i="3"/>
  <c r="F218" i="3"/>
  <c r="E218" i="3"/>
  <c r="G218" i="3" s="1"/>
  <c r="K196" i="3"/>
  <c r="K174" i="3"/>
  <c r="K152" i="3"/>
  <c r="K130" i="3"/>
  <c r="K108" i="3"/>
  <c r="K86" i="3"/>
  <c r="K64" i="3"/>
  <c r="K42" i="3"/>
  <c r="K20" i="3"/>
  <c r="BN184" i="1"/>
  <c r="BN112" i="1"/>
  <c r="BM95" i="1"/>
  <c r="BL112" i="1"/>
  <c r="BO112" i="1"/>
  <c r="BK95" i="1"/>
  <c r="BI96" i="1"/>
  <c r="BK96" i="1" s="1"/>
  <c r="BM96" i="1" s="1"/>
  <c r="BI97" i="1"/>
  <c r="BK97" i="1" s="1"/>
  <c r="BM97" i="1" s="1"/>
  <c r="BI98" i="1"/>
  <c r="BK98" i="1" s="1"/>
  <c r="BM98" i="1" s="1"/>
  <c r="BI99" i="1"/>
  <c r="BK99" i="1" s="1"/>
  <c r="BM99" i="1" s="1"/>
  <c r="BI100" i="1"/>
  <c r="BK100" i="1" s="1"/>
  <c r="BM100" i="1" s="1"/>
  <c r="BI101" i="1"/>
  <c r="BK101" i="1" s="1"/>
  <c r="BM101" i="1" s="1"/>
  <c r="BI102" i="1"/>
  <c r="BK102" i="1" s="1"/>
  <c r="BM102" i="1" s="1"/>
  <c r="BI103" i="1"/>
  <c r="BK103" i="1" s="1"/>
  <c r="BM103" i="1" s="1"/>
  <c r="BI104" i="1"/>
  <c r="BK104" i="1" s="1"/>
  <c r="BM104" i="1" s="1"/>
  <c r="BI105" i="1"/>
  <c r="BK105" i="1" s="1"/>
  <c r="BM105" i="1" s="1"/>
  <c r="BI106" i="1"/>
  <c r="BK106" i="1" s="1"/>
  <c r="BM106" i="1" s="1"/>
  <c r="BI107" i="1"/>
  <c r="BK107" i="1" s="1"/>
  <c r="BM107" i="1" s="1"/>
  <c r="BI108" i="1"/>
  <c r="BK112" i="1" s="1"/>
  <c r="BM112" i="1" s="1"/>
  <c r="BL66" i="1"/>
  <c r="BM66" i="1" s="1"/>
  <c r="BN66" i="1"/>
  <c r="BO66" i="1"/>
  <c r="BM167" i="1"/>
  <c r="BM170" i="1"/>
  <c r="BM174" i="1"/>
  <c r="BI168" i="1"/>
  <c r="BI169" i="1"/>
  <c r="BI170" i="1"/>
  <c r="BI171" i="1"/>
  <c r="BM171" i="1" s="1"/>
  <c r="BI172" i="1"/>
  <c r="BI173" i="1"/>
  <c r="BI174" i="1"/>
  <c r="BI175" i="1"/>
  <c r="BK175" i="1" s="1"/>
  <c r="BM175" i="1" s="1"/>
  <c r="BI176" i="1"/>
  <c r="BK176" i="1" s="1"/>
  <c r="BM176" i="1" s="1"/>
  <c r="BI177" i="1"/>
  <c r="BK184" i="1" s="1"/>
  <c r="BL43" i="1" l="1"/>
  <c r="BM43" i="1" s="1"/>
  <c r="BK43" i="1"/>
  <c r="BM26" i="1"/>
  <c r="BO43" i="1"/>
  <c r="BK26" i="1"/>
  <c r="BK29" i="1"/>
  <c r="BM29" i="1" s="1"/>
  <c r="BM34" i="1"/>
  <c r="BI27" i="1"/>
  <c r="BK27" i="1" s="1"/>
  <c r="BM27" i="1" s="1"/>
  <c r="BI28" i="1"/>
  <c r="BK28" i="1" s="1"/>
  <c r="BM28" i="1" s="1"/>
  <c r="BI29" i="1"/>
  <c r="BI30" i="1"/>
  <c r="BI31" i="1"/>
  <c r="BM31" i="1" s="1"/>
  <c r="BI32" i="1"/>
  <c r="BK32" i="1" s="1"/>
  <c r="BI33" i="1"/>
  <c r="BI34" i="1"/>
  <c r="BI35" i="1"/>
  <c r="BM35" i="1" s="1"/>
  <c r="BI36" i="1"/>
  <c r="BK36" i="1" s="1"/>
  <c r="BM36" i="1" s="1"/>
  <c r="BI37" i="1"/>
  <c r="BO206" i="1" l="1"/>
  <c r="BN206" i="1"/>
  <c r="BL206" i="1"/>
  <c r="BK118" i="1" l="1"/>
  <c r="BM118" i="1" s="1"/>
  <c r="BK120" i="1"/>
  <c r="BM120" i="1" s="1"/>
  <c r="BI119" i="1"/>
  <c r="BK119" i="1" s="1"/>
  <c r="BM119" i="1" s="1"/>
  <c r="AY43" i="1" l="1"/>
  <c r="BA37" i="1"/>
  <c r="AW39" i="1"/>
  <c r="AY38" i="1"/>
  <c r="BA38" i="1" s="1"/>
  <c r="AY37" i="1"/>
  <c r="AW38" i="1"/>
  <c r="AZ184" i="1" l="1"/>
  <c r="BQ227" i="1" l="1"/>
  <c r="BO227" i="1"/>
  <c r="BL227" i="1"/>
  <c r="BM227" i="1" s="1"/>
  <c r="BQ206" i="1"/>
  <c r="BQ184" i="1"/>
  <c r="BO184" i="1"/>
  <c r="BL184" i="1"/>
  <c r="BM184" i="1" s="1"/>
  <c r="BQ157" i="1"/>
  <c r="BQ135" i="1"/>
  <c r="BQ112" i="1"/>
  <c r="BQ89" i="1"/>
  <c r="BQ66" i="1"/>
  <c r="BQ43" i="1"/>
  <c r="BQ20" i="1"/>
  <c r="AW27" i="1"/>
  <c r="AW28" i="1"/>
  <c r="AW29" i="1"/>
  <c r="AW30" i="1"/>
  <c r="AW31" i="1"/>
  <c r="AW32" i="1"/>
  <c r="AW33" i="1"/>
  <c r="AW34" i="1"/>
  <c r="AW35" i="1"/>
  <c r="AW36" i="1"/>
  <c r="AY36" i="1" s="1"/>
  <c r="BA36" i="1" s="1"/>
  <c r="BE135" i="1" l="1"/>
  <c r="BA118" i="1"/>
  <c r="AY118" i="1"/>
  <c r="AW119" i="1"/>
  <c r="AY119" i="1" s="1"/>
  <c r="BA119" i="1" s="1"/>
  <c r="AW120" i="1"/>
  <c r="AY120" i="1" s="1"/>
  <c r="BA120" i="1" s="1"/>
  <c r="AW121" i="1"/>
  <c r="AY121" i="1" s="1"/>
  <c r="BA121" i="1" s="1"/>
  <c r="AW122" i="1"/>
  <c r="AY122" i="1" s="1"/>
  <c r="BA122" i="1" s="1"/>
  <c r="AW123" i="1"/>
  <c r="AY123" i="1" s="1"/>
  <c r="BA123" i="1" s="1"/>
  <c r="AW124" i="1"/>
  <c r="AY124" i="1" s="1"/>
  <c r="BA124" i="1" s="1"/>
  <c r="AW125" i="1"/>
  <c r="AY135" i="1" s="1"/>
  <c r="AY89" i="1"/>
  <c r="AW211" i="1" l="1"/>
  <c r="AY211" i="1" s="1"/>
  <c r="AW212" i="1"/>
  <c r="BE227" i="1"/>
  <c r="BC227" i="1"/>
  <c r="AZ227" i="1"/>
  <c r="AZ206" i="1"/>
  <c r="BB206" i="1"/>
  <c r="AY95" i="1" l="1"/>
  <c r="BA95" i="1" s="1"/>
  <c r="AY104" i="1"/>
  <c r="BA104" i="1" s="1"/>
  <c r="AW105" i="1"/>
  <c r="AY105" i="1" s="1"/>
  <c r="BA105" i="1" s="1"/>
  <c r="AW104" i="1"/>
  <c r="AW103" i="1"/>
  <c r="AY103" i="1" s="1"/>
  <c r="BA103" i="1" s="1"/>
  <c r="BB161" i="1" l="1"/>
  <c r="AZ161" i="1"/>
  <c r="BC161" i="1"/>
  <c r="AW160" i="1"/>
  <c r="AY161" i="1" s="1"/>
  <c r="BA161" i="1" s="1"/>
  <c r="AW158" i="1"/>
  <c r="AY158" i="1"/>
  <c r="BA158" i="1" s="1"/>
  <c r="AY159" i="1"/>
  <c r="BA159" i="1" s="1"/>
  <c r="AW159" i="1"/>
  <c r="Z162" i="1"/>
  <c r="AD162" i="1"/>
  <c r="AY140" i="1"/>
  <c r="BA140" i="1" s="1"/>
  <c r="AW141" i="1"/>
  <c r="AY141" i="1" s="1"/>
  <c r="BA141" i="1" s="1"/>
  <c r="AW142" i="1"/>
  <c r="AY142" i="1" s="1"/>
  <c r="BA142" i="1" s="1"/>
  <c r="AW143" i="1"/>
  <c r="AY143" i="1" s="1"/>
  <c r="BA143" i="1" s="1"/>
  <c r="AW144" i="1"/>
  <c r="AY144" i="1" s="1"/>
  <c r="BA144" i="1" s="1"/>
  <c r="AW145" i="1"/>
  <c r="AY145" i="1" s="1"/>
  <c r="BA145" i="1" s="1"/>
  <c r="AW146" i="1"/>
  <c r="AY146" i="1" s="1"/>
  <c r="BA146" i="1" s="1"/>
  <c r="AW147" i="1"/>
  <c r="AY147" i="1" s="1"/>
  <c r="BA147" i="1" s="1"/>
  <c r="AW148" i="1"/>
  <c r="AY148" i="1" s="1"/>
  <c r="BA148" i="1" s="1"/>
  <c r="AW149" i="1"/>
  <c r="AY149" i="1" s="1"/>
  <c r="BA149" i="1" s="1"/>
  <c r="AW150" i="1"/>
  <c r="AY150" i="1" s="1"/>
  <c r="BA150" i="1" s="1"/>
  <c r="AW151" i="1"/>
  <c r="AY151" i="1" s="1"/>
  <c r="BA151" i="1" s="1"/>
  <c r="AW152" i="1"/>
  <c r="AY152" i="1" s="1"/>
  <c r="BA152" i="1" s="1"/>
  <c r="AW153" i="1"/>
  <c r="AY153" i="1" s="1"/>
  <c r="BA153" i="1" s="1"/>
  <c r="AW154" i="1"/>
  <c r="AY154" i="1" s="1"/>
  <c r="BA154" i="1" s="1"/>
  <c r="AW155" i="1"/>
  <c r="AY155" i="1" s="1"/>
  <c r="BA155" i="1" s="1"/>
  <c r="AW156" i="1"/>
  <c r="AY156" i="1" s="1"/>
  <c r="BA156" i="1" s="1"/>
  <c r="AW157" i="1"/>
  <c r="AY157" i="1" s="1"/>
  <c r="BA157" i="1" s="1"/>
  <c r="BE157" i="1"/>
  <c r="AY72" i="1" l="1"/>
  <c r="BA72" i="1" s="1"/>
  <c r="AW73" i="1"/>
  <c r="AY73" i="1" s="1"/>
  <c r="BA73" i="1" s="1"/>
  <c r="AW74" i="1"/>
  <c r="AY74" i="1" s="1"/>
  <c r="BA74" i="1" s="1"/>
  <c r="AW75" i="1"/>
  <c r="AY75" i="1" s="1"/>
  <c r="BA75" i="1" s="1"/>
  <c r="AW76" i="1"/>
  <c r="AY76" i="1" s="1"/>
  <c r="BA76" i="1" s="1"/>
  <c r="AW77" i="1"/>
  <c r="AY77" i="1" s="1"/>
  <c r="BA77" i="1" s="1"/>
  <c r="AW78" i="1"/>
  <c r="AY78" i="1" s="1"/>
  <c r="BA78" i="1" s="1"/>
  <c r="AW96" i="1" l="1"/>
  <c r="AY96" i="1" s="1"/>
  <c r="BA96" i="1" s="1"/>
  <c r="AW97" i="1"/>
  <c r="AY97" i="1" s="1"/>
  <c r="BA97" i="1" s="1"/>
  <c r="AW98" i="1"/>
  <c r="AY98" i="1" s="1"/>
  <c r="BA98" i="1" s="1"/>
  <c r="AW99" i="1"/>
  <c r="AY99" i="1" s="1"/>
  <c r="BA99" i="1" s="1"/>
  <c r="AW100" i="1"/>
  <c r="AY100" i="1" s="1"/>
  <c r="BA100" i="1" s="1"/>
  <c r="AW101" i="1"/>
  <c r="AY101" i="1" s="1"/>
  <c r="BA101" i="1" s="1"/>
  <c r="AW102" i="1"/>
  <c r="AY102" i="1" s="1"/>
  <c r="BA102" i="1" s="1"/>
  <c r="AW106" i="1"/>
  <c r="AY112" i="1" s="1"/>
  <c r="BC206" i="1" l="1"/>
  <c r="AY189" i="1"/>
  <c r="BA189" i="1" s="1"/>
  <c r="AW190" i="1"/>
  <c r="AY190" i="1" s="1"/>
  <c r="BA190" i="1" s="1"/>
  <c r="AW191" i="1"/>
  <c r="AY191" i="1" s="1"/>
  <c r="BA191" i="1" s="1"/>
  <c r="AW192" i="1"/>
  <c r="AY192" i="1" s="1"/>
  <c r="BA192" i="1" s="1"/>
  <c r="AW193" i="1"/>
  <c r="AY193" i="1" s="1"/>
  <c r="BA193" i="1" s="1"/>
  <c r="AW194" i="1"/>
  <c r="AY194" i="1" s="1"/>
  <c r="BA194" i="1" s="1"/>
  <c r="AW195" i="1"/>
  <c r="AY195" i="1" s="1"/>
  <c r="BA195" i="1" s="1"/>
  <c r="AW196" i="1"/>
  <c r="AY196" i="1" s="1"/>
  <c r="BA196" i="1" s="1"/>
  <c r="AW197" i="1"/>
  <c r="AY197" i="1" s="1"/>
  <c r="BA197" i="1" s="1"/>
  <c r="AW198" i="1"/>
  <c r="AY198" i="1" s="1"/>
  <c r="BA198" i="1" s="1"/>
  <c r="AW199" i="1"/>
  <c r="AY199" i="1" s="1"/>
  <c r="BA199" i="1" s="1"/>
  <c r="AW200" i="1"/>
  <c r="AY200" i="1" s="1"/>
  <c r="BA200" i="1" s="1"/>
  <c r="AW201" i="1"/>
  <c r="AY201" i="1" s="1"/>
  <c r="BA201" i="1" s="1"/>
  <c r="AW202" i="1"/>
  <c r="AY202" i="1" s="1"/>
  <c r="BA202" i="1" s="1"/>
  <c r="AW203" i="1"/>
  <c r="AY206" i="1" s="1"/>
  <c r="BA206" i="1" s="1"/>
  <c r="BE206" i="1"/>
  <c r="AY3" i="1" l="1"/>
  <c r="BA3" i="1" s="1"/>
  <c r="AW4" i="1"/>
  <c r="AY4" i="1" s="1"/>
  <c r="BA4" i="1" s="1"/>
  <c r="AW5" i="1"/>
  <c r="AY5" i="1" s="1"/>
  <c r="BA5" i="1" s="1"/>
  <c r="AW6" i="1"/>
  <c r="AY6" i="1" s="1"/>
  <c r="BA6" i="1" s="1"/>
  <c r="AW7" i="1"/>
  <c r="AY7" i="1" s="1"/>
  <c r="BA7" i="1" s="1"/>
  <c r="AW8" i="1"/>
  <c r="AY8" i="1" s="1"/>
  <c r="BA8" i="1" s="1"/>
  <c r="AW9" i="1"/>
  <c r="AY9" i="1" s="1"/>
  <c r="BA9" i="1" s="1"/>
  <c r="AW10" i="1"/>
  <c r="AY10" i="1" s="1"/>
  <c r="BA10" i="1" s="1"/>
  <c r="AW11" i="1"/>
  <c r="AY11" i="1" s="1"/>
  <c r="BA11" i="1" s="1"/>
  <c r="AW12" i="1"/>
  <c r="AY12" i="1" s="1"/>
  <c r="BA12" i="1" s="1"/>
  <c r="AW13" i="1"/>
  <c r="AY20" i="1" s="1"/>
  <c r="AY26" i="1"/>
  <c r="BA26" i="1" s="1"/>
  <c r="AY33" i="1"/>
  <c r="BA33" i="1" s="1"/>
  <c r="AY34" i="1"/>
  <c r="BA34" i="1" s="1"/>
  <c r="AY35" i="1"/>
  <c r="BA35" i="1" s="1"/>
  <c r="AY32" i="1"/>
  <c r="BA32" i="1" s="1"/>
  <c r="AY31" i="1"/>
  <c r="BA31" i="1" s="1"/>
  <c r="AY30" i="1"/>
  <c r="BA30" i="1" s="1"/>
  <c r="AY29" i="1"/>
  <c r="BA29" i="1" s="1"/>
  <c r="AY28" i="1"/>
  <c r="BA28" i="1" s="1"/>
  <c r="AY27" i="1"/>
  <c r="BA27" i="1" s="1"/>
  <c r="AY167" i="1"/>
  <c r="BA167" i="1" s="1"/>
  <c r="AW168" i="1"/>
  <c r="AY168" i="1" s="1"/>
  <c r="BA168" i="1" s="1"/>
  <c r="AW169" i="1"/>
  <c r="AY169" i="1" s="1"/>
  <c r="BA169" i="1" s="1"/>
  <c r="AW170" i="1"/>
  <c r="AY170" i="1" s="1"/>
  <c r="BA170" i="1" s="1"/>
  <c r="AW171" i="1"/>
  <c r="AY171" i="1" s="1"/>
  <c r="BA171" i="1" s="1"/>
  <c r="AW172" i="1"/>
  <c r="AY172" i="1" s="1"/>
  <c r="BA172" i="1" s="1"/>
  <c r="AW173" i="1"/>
  <c r="AY173" i="1" s="1"/>
  <c r="BA173" i="1" s="1"/>
  <c r="AW174" i="1"/>
  <c r="AY174" i="1" s="1"/>
  <c r="BA174" i="1" s="1"/>
  <c r="AW175" i="1"/>
  <c r="AY175" i="1" s="1"/>
  <c r="BA175" i="1" s="1"/>
  <c r="AW176" i="1"/>
  <c r="AY176" i="1" s="1"/>
  <c r="BA176" i="1" s="1"/>
  <c r="AW177" i="1"/>
  <c r="AY184" i="1" s="1"/>
  <c r="BA184" i="1" s="1"/>
  <c r="AY49" i="1"/>
  <c r="BA49" i="1" s="1"/>
  <c r="AW50" i="1"/>
  <c r="AY50" i="1" s="1"/>
  <c r="BA50" i="1" s="1"/>
  <c r="AW51" i="1"/>
  <c r="AY51" i="1" s="1"/>
  <c r="BA51" i="1" s="1"/>
  <c r="AW52" i="1"/>
  <c r="AY52" i="1" s="1"/>
  <c r="BA52" i="1" s="1"/>
  <c r="AW53" i="1"/>
  <c r="AY53" i="1" s="1"/>
  <c r="BA53" i="1" s="1"/>
  <c r="AW54" i="1"/>
  <c r="AY54" i="1" s="1"/>
  <c r="BA54" i="1" s="1"/>
  <c r="AW55" i="1"/>
  <c r="AY55" i="1" s="1"/>
  <c r="BA55" i="1" s="1"/>
  <c r="AW56" i="1"/>
  <c r="AY56" i="1" s="1"/>
  <c r="BA56" i="1" s="1"/>
  <c r="AW57" i="1"/>
  <c r="AY57" i="1" s="1"/>
  <c r="BA57" i="1" s="1"/>
  <c r="AW58" i="1"/>
  <c r="AY58" i="1" s="1"/>
  <c r="BA58" i="1" s="1"/>
  <c r="AW59" i="1"/>
  <c r="AY59" i="1" s="1"/>
  <c r="BA59" i="1" s="1"/>
  <c r="AW60" i="1"/>
  <c r="AY60" i="1" s="1"/>
  <c r="BA60" i="1" s="1"/>
  <c r="AW61" i="1"/>
  <c r="AY61" i="1" s="1"/>
  <c r="BA61" i="1" s="1"/>
  <c r="AW62" i="1"/>
  <c r="AY66" i="1" s="1"/>
  <c r="BE184" i="1" l="1"/>
  <c r="BC184" i="1"/>
  <c r="BB184" i="1"/>
  <c r="BC135" i="1"/>
  <c r="BB135" i="1"/>
  <c r="AZ135" i="1"/>
  <c r="BA135" i="1" s="1"/>
  <c r="BE112" i="1"/>
  <c r="BC112" i="1"/>
  <c r="BB112" i="1"/>
  <c r="AZ112" i="1"/>
  <c r="BA112" i="1" s="1"/>
  <c r="BE89" i="1"/>
  <c r="BC89" i="1"/>
  <c r="BB89" i="1"/>
  <c r="AZ89" i="1"/>
  <c r="BA89" i="1" s="1"/>
  <c r="BE66" i="1"/>
  <c r="BC66" i="1"/>
  <c r="BB66" i="1"/>
  <c r="AZ66" i="1"/>
  <c r="BA66" i="1" s="1"/>
  <c r="BE43" i="1"/>
  <c r="BC43" i="1"/>
  <c r="BB43" i="1"/>
  <c r="AZ43" i="1"/>
  <c r="BA43" i="1" s="1"/>
  <c r="BE20" i="1"/>
  <c r="BC20" i="1"/>
  <c r="BB20" i="1"/>
  <c r="AZ20" i="1"/>
  <c r="BA20" i="1" s="1"/>
  <c r="AQ20" i="1" l="1"/>
  <c r="AN20" i="1"/>
  <c r="AP20" i="1"/>
  <c r="AM3" i="1"/>
  <c r="AK4" i="1"/>
  <c r="AM4" i="1" s="1"/>
  <c r="AO4" i="1" s="1"/>
  <c r="AK5" i="1"/>
  <c r="AM5" i="1" s="1"/>
  <c r="AO5" i="1" s="1"/>
  <c r="AK6" i="1"/>
  <c r="AM6" i="1" s="1"/>
  <c r="AO6" i="1" s="1"/>
  <c r="AK7" i="1"/>
  <c r="AM7" i="1" s="1"/>
  <c r="AO7" i="1" s="1"/>
  <c r="AK8" i="1"/>
  <c r="AM8" i="1" s="1"/>
  <c r="AO8" i="1" s="1"/>
  <c r="AK9" i="1"/>
  <c r="AM9" i="1" s="1"/>
  <c r="AO9" i="1" s="1"/>
  <c r="AK10" i="1"/>
  <c r="AM10" i="1" s="1"/>
  <c r="AO10" i="1" s="1"/>
  <c r="AK11" i="1"/>
  <c r="AM11" i="1" s="1"/>
  <c r="AO11" i="1" s="1"/>
  <c r="AK12" i="1"/>
  <c r="AM12" i="1" s="1"/>
  <c r="AO12" i="1" s="1"/>
  <c r="AK13" i="1"/>
  <c r="AN157" i="1"/>
  <c r="AP157" i="1"/>
  <c r="AQ157" i="1"/>
  <c r="AM140" i="1"/>
  <c r="AO140" i="1" s="1"/>
  <c r="AK141" i="1"/>
  <c r="AM141" i="1" s="1"/>
  <c r="AO141" i="1" s="1"/>
  <c r="AK142" i="1"/>
  <c r="AM142" i="1" s="1"/>
  <c r="AO142" i="1" s="1"/>
  <c r="AK143" i="1"/>
  <c r="AM143" i="1" s="1"/>
  <c r="AO143" i="1" s="1"/>
  <c r="AK144" i="1"/>
  <c r="AM144" i="1" s="1"/>
  <c r="AO144" i="1" s="1"/>
  <c r="AK145" i="1"/>
  <c r="AM145" i="1" s="1"/>
  <c r="AO145" i="1" s="1"/>
  <c r="AK146" i="1"/>
  <c r="AM146" i="1" s="1"/>
  <c r="AO146" i="1" s="1"/>
  <c r="AK147" i="1"/>
  <c r="AM147" i="1" s="1"/>
  <c r="AO147" i="1" s="1"/>
  <c r="AK148" i="1"/>
  <c r="AM148" i="1" s="1"/>
  <c r="AO148" i="1" s="1"/>
  <c r="AK149" i="1"/>
  <c r="AM149" i="1" s="1"/>
  <c r="AO149" i="1" s="1"/>
  <c r="AK150" i="1"/>
  <c r="AM150" i="1" s="1"/>
  <c r="AO150" i="1" s="1"/>
  <c r="AK151" i="1"/>
  <c r="AM151" i="1" s="1"/>
  <c r="AO151" i="1" s="1"/>
  <c r="AK152" i="1"/>
  <c r="AM152" i="1" s="1"/>
  <c r="AO152" i="1" s="1"/>
  <c r="AK153" i="1"/>
  <c r="AM153" i="1" s="1"/>
  <c r="AO153" i="1" s="1"/>
  <c r="AK154" i="1"/>
  <c r="AM20" i="1" l="1"/>
  <c r="AO20" i="1" s="1"/>
  <c r="AO3" i="1"/>
  <c r="AM157" i="1"/>
  <c r="AO157" i="1" s="1"/>
  <c r="AK27" i="1"/>
  <c r="AK28" i="1"/>
  <c r="AM28" i="1" s="1"/>
  <c r="AK29" i="1"/>
  <c r="AK30" i="1"/>
  <c r="AK31" i="1"/>
  <c r="AK32" i="1"/>
  <c r="AK33" i="1"/>
  <c r="AK34" i="1"/>
  <c r="AK35" i="1"/>
  <c r="AM35" i="1" s="1"/>
  <c r="AO35" i="1" s="1"/>
  <c r="AK36" i="1"/>
  <c r="AK37" i="1"/>
  <c r="AK38" i="1"/>
  <c r="AK39" i="1"/>
  <c r="AN43" i="1" l="1"/>
  <c r="AO28" i="1"/>
  <c r="AP43" i="1"/>
  <c r="AQ43" i="1"/>
  <c r="AM38" i="1"/>
  <c r="AO38" i="1" s="1"/>
  <c r="AM37" i="1"/>
  <c r="AO37" i="1" s="1"/>
  <c r="AM34" i="1"/>
  <c r="AO34" i="1" s="1"/>
  <c r="AM33" i="1"/>
  <c r="AO33" i="1" s="1"/>
  <c r="AM32" i="1"/>
  <c r="AO32" i="1" s="1"/>
  <c r="AM31" i="1"/>
  <c r="AO31" i="1" s="1"/>
  <c r="AM30" i="1"/>
  <c r="AO30" i="1" s="1"/>
  <c r="AM29" i="1"/>
  <c r="AO29" i="1" s="1"/>
  <c r="AM36" i="1" l="1"/>
  <c r="AN135" i="1"/>
  <c r="AP135" i="1"/>
  <c r="AQ135" i="1"/>
  <c r="AK129" i="1"/>
  <c r="AM118" i="1"/>
  <c r="AO118" i="1" s="1"/>
  <c r="AK119" i="1"/>
  <c r="AM119" i="1" s="1"/>
  <c r="AO119" i="1" s="1"/>
  <c r="AK120" i="1"/>
  <c r="AM120" i="1" s="1"/>
  <c r="AO120" i="1" s="1"/>
  <c r="AK121" i="1"/>
  <c r="AM121" i="1" s="1"/>
  <c r="AO121" i="1" s="1"/>
  <c r="AK122" i="1"/>
  <c r="AM122" i="1" s="1"/>
  <c r="AO122" i="1" s="1"/>
  <c r="AK123" i="1"/>
  <c r="AM123" i="1" s="1"/>
  <c r="AO123" i="1" s="1"/>
  <c r="AK124" i="1"/>
  <c r="AM124" i="1" s="1"/>
  <c r="AO124" i="1" s="1"/>
  <c r="AK125" i="1"/>
  <c r="AM125" i="1" s="1"/>
  <c r="AK126" i="1"/>
  <c r="AM126" i="1" s="1"/>
  <c r="AO126" i="1" s="1"/>
  <c r="AK127" i="1"/>
  <c r="AM127" i="1" s="1"/>
  <c r="AO127" i="1" s="1"/>
  <c r="AK128" i="1"/>
  <c r="AM128" i="1" s="1"/>
  <c r="AO128" i="1" s="1"/>
  <c r="AM72" i="1"/>
  <c r="AO72" i="1" s="1"/>
  <c r="AK73" i="1"/>
  <c r="AM73" i="1" s="1"/>
  <c r="AK74" i="1"/>
  <c r="AM74" i="1" s="1"/>
  <c r="AO74" i="1" s="1"/>
  <c r="AK75" i="1"/>
  <c r="AM75" i="1" s="1"/>
  <c r="AO75" i="1" s="1"/>
  <c r="AK76" i="1"/>
  <c r="AM76" i="1" s="1"/>
  <c r="AO76" i="1" s="1"/>
  <c r="AK77" i="1"/>
  <c r="AM77" i="1" s="1"/>
  <c r="AO77" i="1" s="1"/>
  <c r="AK78" i="1"/>
  <c r="AM78" i="1" s="1"/>
  <c r="AO78" i="1" s="1"/>
  <c r="AK79" i="1"/>
  <c r="AM79" i="1" s="1"/>
  <c r="AO79" i="1" s="1"/>
  <c r="AK80" i="1"/>
  <c r="AM80" i="1" s="1"/>
  <c r="AO80" i="1" s="1"/>
  <c r="AK81" i="1"/>
  <c r="AM135" i="1" l="1"/>
  <c r="AO135" i="1" s="1"/>
  <c r="AO125" i="1"/>
  <c r="AO36" i="1"/>
  <c r="AN112" i="1"/>
  <c r="AP112" i="1"/>
  <c r="AQ112" i="1"/>
  <c r="AM95" i="1"/>
  <c r="AK96" i="1"/>
  <c r="AM96" i="1" s="1"/>
  <c r="AO96" i="1" s="1"/>
  <c r="AK97" i="1"/>
  <c r="AM97" i="1" s="1"/>
  <c r="AO97" i="1" s="1"/>
  <c r="AK98" i="1"/>
  <c r="AK99" i="1"/>
  <c r="AM99" i="1" s="1"/>
  <c r="AO99" i="1" s="1"/>
  <c r="AK100" i="1"/>
  <c r="AM100" i="1" s="1"/>
  <c r="AO100" i="1" s="1"/>
  <c r="AK101" i="1"/>
  <c r="AK102" i="1"/>
  <c r="AM102" i="1" s="1"/>
  <c r="AO102" i="1" s="1"/>
  <c r="AK103" i="1"/>
  <c r="AM103" i="1" s="1"/>
  <c r="AO103" i="1" s="1"/>
  <c r="AK104" i="1"/>
  <c r="AM101" i="1"/>
  <c r="AO101" i="1" s="1"/>
  <c r="AM98" i="1"/>
  <c r="AO98" i="1" s="1"/>
  <c r="AM112" i="1" l="1"/>
  <c r="AO112" i="1" s="1"/>
  <c r="AO95" i="1"/>
  <c r="AP66" i="1"/>
  <c r="AN184" i="1"/>
  <c r="AP184" i="1"/>
  <c r="AQ184" i="1"/>
  <c r="AM167" i="1"/>
  <c r="AO167" i="1" s="1"/>
  <c r="AK168" i="1"/>
  <c r="AM168" i="1" s="1"/>
  <c r="AO168" i="1" s="1"/>
  <c r="AK169" i="1"/>
  <c r="AM169" i="1" s="1"/>
  <c r="AO169" i="1" s="1"/>
  <c r="AK170" i="1"/>
  <c r="AM170" i="1" s="1"/>
  <c r="AO170" i="1" s="1"/>
  <c r="AK171" i="1"/>
  <c r="AM171" i="1" s="1"/>
  <c r="AO171" i="1" s="1"/>
  <c r="AK172" i="1"/>
  <c r="AM172" i="1" s="1"/>
  <c r="AK173" i="1"/>
  <c r="AM173" i="1" s="1"/>
  <c r="AK174" i="1"/>
  <c r="AM49" i="1"/>
  <c r="AO49" i="1" s="1"/>
  <c r="AK50" i="1"/>
  <c r="AM50" i="1" s="1"/>
  <c r="AO50" i="1" s="1"/>
  <c r="AK51" i="1"/>
  <c r="AM51" i="1" s="1"/>
  <c r="AO51" i="1" s="1"/>
  <c r="AK52" i="1"/>
  <c r="AM52" i="1" s="1"/>
  <c r="AO52" i="1" s="1"/>
  <c r="AK53" i="1"/>
  <c r="AM53" i="1" s="1"/>
  <c r="AO53" i="1" s="1"/>
  <c r="AK54" i="1"/>
  <c r="AM54" i="1" s="1"/>
  <c r="AO54" i="1" s="1"/>
  <c r="AK55" i="1"/>
  <c r="AM55" i="1" s="1"/>
  <c r="AO55" i="1" s="1"/>
  <c r="AK56" i="1"/>
  <c r="AM56" i="1" s="1"/>
  <c r="AO56" i="1" s="1"/>
  <c r="AK57" i="1"/>
  <c r="AM57" i="1" s="1"/>
  <c r="AO57" i="1" s="1"/>
  <c r="AK58" i="1"/>
  <c r="AM58" i="1" s="1"/>
  <c r="AO58" i="1" s="1"/>
  <c r="AK59" i="1"/>
  <c r="AM59" i="1" s="1"/>
  <c r="AO59" i="1" s="1"/>
  <c r="AK60" i="1"/>
  <c r="AM60" i="1" s="1"/>
  <c r="AO60" i="1" s="1"/>
  <c r="AK61" i="1"/>
  <c r="AM61" i="1" s="1"/>
  <c r="AO61" i="1" s="1"/>
  <c r="AK62" i="1"/>
  <c r="AM62" i="1" s="1"/>
  <c r="AO62" i="1" s="1"/>
  <c r="AK63" i="1"/>
  <c r="AM66" i="1" l="1"/>
  <c r="AM184" i="1"/>
  <c r="AO184" i="1" s="1"/>
  <c r="AO173" i="1"/>
  <c r="AE66" i="1"/>
  <c r="AC43" i="1"/>
  <c r="AE43" i="1"/>
  <c r="AF43" i="1"/>
  <c r="Z82" i="1"/>
  <c r="AD74" i="1" l="1"/>
  <c r="AD79" i="1"/>
  <c r="AD76" i="1"/>
  <c r="AB72" i="1"/>
  <c r="AD77" i="1"/>
  <c r="AH157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AB157" i="1" s="1"/>
  <c r="Z158" i="1"/>
  <c r="AB158" i="1" s="1"/>
  <c r="Z159" i="1"/>
  <c r="AB159" i="1" s="1"/>
  <c r="Z160" i="1"/>
  <c r="AB160" i="1" s="1"/>
  <c r="Z161" i="1"/>
  <c r="AB161" i="1" s="1"/>
  <c r="AD161" i="1" l="1"/>
  <c r="AD160" i="1"/>
  <c r="AD159" i="1"/>
  <c r="AD158" i="1"/>
  <c r="AB156" i="1"/>
  <c r="AD156" i="1" s="1"/>
  <c r="AB155" i="1"/>
  <c r="AD155" i="1" s="1"/>
  <c r="AB154" i="1"/>
  <c r="AD154" i="1" s="1"/>
  <c r="AB153" i="1"/>
  <c r="AD153" i="1" s="1"/>
  <c r="AB152" i="1"/>
  <c r="AD152" i="1" s="1"/>
  <c r="AB151" i="1"/>
  <c r="AD151" i="1" s="1"/>
  <c r="AB150" i="1"/>
  <c r="AD150" i="1" s="1"/>
  <c r="AB149" i="1"/>
  <c r="AD149" i="1" s="1"/>
  <c r="AB148" i="1"/>
  <c r="AD148" i="1" s="1"/>
  <c r="AB147" i="1"/>
  <c r="AD147" i="1" s="1"/>
  <c r="AB146" i="1"/>
  <c r="AD146" i="1" s="1"/>
  <c r="AB145" i="1"/>
  <c r="AD145" i="1" s="1"/>
  <c r="AB144" i="1"/>
  <c r="AD144" i="1" s="1"/>
  <c r="AB143" i="1"/>
  <c r="AD143" i="1" s="1"/>
  <c r="AB142" i="1"/>
  <c r="AD142" i="1" s="1"/>
  <c r="AB141" i="1"/>
  <c r="AB140" i="1"/>
  <c r="AD140" i="1" l="1"/>
  <c r="AD157" i="1"/>
  <c r="AD141" i="1"/>
  <c r="Z73" i="1"/>
  <c r="AB73" i="1" s="1"/>
  <c r="Z74" i="1"/>
  <c r="Z75" i="1"/>
  <c r="AD75" i="1" s="1"/>
  <c r="Z76" i="1"/>
  <c r="Z77" i="1"/>
  <c r="Z78" i="1"/>
  <c r="Z79" i="1"/>
  <c r="Z80" i="1"/>
  <c r="AB80" i="1" s="1"/>
  <c r="AD80" i="1" s="1"/>
  <c r="Z81" i="1"/>
  <c r="AB81" i="1" s="1"/>
  <c r="AD81" i="1" s="1"/>
  <c r="AB26" i="1" l="1"/>
  <c r="Z27" i="1"/>
  <c r="AB27" i="1" s="1"/>
  <c r="AD27" i="1" s="1"/>
  <c r="Z28" i="1"/>
  <c r="AB28" i="1" s="1"/>
  <c r="AD28" i="1" s="1"/>
  <c r="Z29" i="1"/>
  <c r="AB29" i="1" s="1"/>
  <c r="AD29" i="1" s="1"/>
  <c r="Z30" i="1"/>
  <c r="Z31" i="1"/>
  <c r="AB31" i="1" s="1"/>
  <c r="AD31" i="1" s="1"/>
  <c r="Z32" i="1"/>
  <c r="Z33" i="1"/>
  <c r="AB33" i="1" s="1"/>
  <c r="AD33" i="1" s="1"/>
  <c r="Z34" i="1"/>
  <c r="AB34" i="1" s="1"/>
  <c r="AD34" i="1" s="1"/>
  <c r="Z35" i="1"/>
  <c r="AB35" i="1" s="1"/>
  <c r="AD35" i="1" s="1"/>
  <c r="Z36" i="1"/>
  <c r="AB36" i="1" s="1"/>
  <c r="AD36" i="1" s="1"/>
  <c r="Z37" i="1"/>
  <c r="AB37" i="1" s="1"/>
  <c r="AD37" i="1" s="1"/>
  <c r="Z38" i="1"/>
  <c r="AS184" i="1"/>
  <c r="AS157" i="1"/>
  <c r="AS112" i="1"/>
  <c r="AS89" i="1"/>
  <c r="AQ89" i="1"/>
  <c r="AP89" i="1"/>
  <c r="AN89" i="1"/>
  <c r="AM89" i="1"/>
  <c r="AS66" i="1"/>
  <c r="AQ66" i="1"/>
  <c r="AN66" i="1"/>
  <c r="AO66" i="1" s="1"/>
  <c r="AS43" i="1"/>
  <c r="AM27" i="1"/>
  <c r="AM26" i="1"/>
  <c r="AS20" i="1"/>
  <c r="N8" i="1"/>
  <c r="Z10" i="1"/>
  <c r="Z9" i="1"/>
  <c r="AB9" i="1" s="1"/>
  <c r="AD9" i="1" s="1"/>
  <c r="Z8" i="1"/>
  <c r="AB8" i="1" s="1"/>
  <c r="AD8" i="1" s="1"/>
  <c r="Z7" i="1"/>
  <c r="AB7" i="1" s="1"/>
  <c r="AD7" i="1" s="1"/>
  <c r="Z6" i="1"/>
  <c r="AB6" i="1" s="1"/>
  <c r="AD6" i="1" s="1"/>
  <c r="Z5" i="1"/>
  <c r="AB5" i="1" s="1"/>
  <c r="AD5" i="1" s="1"/>
  <c r="Z4" i="1"/>
  <c r="N158" i="1"/>
  <c r="AB32" i="1" l="1"/>
  <c r="AD32" i="1" s="1"/>
  <c r="AB30" i="1"/>
  <c r="AD26" i="1"/>
  <c r="AO26" i="1"/>
  <c r="AM43" i="1"/>
  <c r="AO43" i="1" s="1"/>
  <c r="AO89" i="1"/>
  <c r="N174" i="1"/>
  <c r="N173" i="1"/>
  <c r="P173" i="1" s="1"/>
  <c r="R173" i="1" s="1"/>
  <c r="Z120" i="1"/>
  <c r="AB120" i="1" s="1"/>
  <c r="AD120" i="1" s="1"/>
  <c r="Z121" i="1"/>
  <c r="AB121" i="1" s="1"/>
  <c r="AD121" i="1" s="1"/>
  <c r="Z122" i="1"/>
  <c r="AB122" i="1" s="1"/>
  <c r="AD122" i="1" s="1"/>
  <c r="Z123" i="1"/>
  <c r="AB123" i="1" s="1"/>
  <c r="AD123" i="1" s="1"/>
  <c r="Z124" i="1"/>
  <c r="AB124" i="1" s="1"/>
  <c r="AD124" i="1" s="1"/>
  <c r="Z125" i="1"/>
  <c r="AB43" i="1" l="1"/>
  <c r="AD43" i="1" s="1"/>
  <c r="AD30" i="1"/>
  <c r="AB167" i="1"/>
  <c r="AD167" i="1" s="1"/>
  <c r="Z168" i="1"/>
  <c r="AB168" i="1" s="1"/>
  <c r="AD168" i="1" s="1"/>
  <c r="Z169" i="1"/>
  <c r="AB169" i="1" s="1"/>
  <c r="AD169" i="1" s="1"/>
  <c r="Z170" i="1"/>
  <c r="AB170" i="1" s="1"/>
  <c r="AD170" i="1" s="1"/>
  <c r="Z171" i="1"/>
  <c r="AB171" i="1" s="1"/>
  <c r="AD171" i="1" s="1"/>
  <c r="Z172" i="1"/>
  <c r="AB172" i="1" s="1"/>
  <c r="AD172" i="1" s="1"/>
  <c r="Z173" i="1"/>
  <c r="AB173" i="1" s="1"/>
  <c r="AD173" i="1" s="1"/>
  <c r="Z174" i="1"/>
  <c r="AB174" i="1" s="1"/>
  <c r="AD174" i="1" s="1"/>
  <c r="Z175" i="1"/>
  <c r="AB175" i="1" s="1"/>
  <c r="AD175" i="1" s="1"/>
  <c r="Z176" i="1"/>
  <c r="AB176" i="1" s="1"/>
  <c r="AD176" i="1" s="1"/>
  <c r="Z177" i="1"/>
  <c r="AB177" i="1" s="1"/>
  <c r="AD177" i="1" s="1"/>
  <c r="Z178" i="1"/>
  <c r="AB49" i="1"/>
  <c r="Z50" i="1"/>
  <c r="AB50" i="1" s="1"/>
  <c r="AD50" i="1" s="1"/>
  <c r="Z51" i="1"/>
  <c r="AB51" i="1" s="1"/>
  <c r="AD51" i="1" s="1"/>
  <c r="Z52" i="1"/>
  <c r="AB52" i="1" s="1"/>
  <c r="Z53" i="1"/>
  <c r="AB53" i="1" s="1"/>
  <c r="AD53" i="1" s="1"/>
  <c r="Z54" i="1"/>
  <c r="AB54" i="1" s="1"/>
  <c r="AD54" i="1" s="1"/>
  <c r="Z55" i="1"/>
  <c r="AB55" i="1" s="1"/>
  <c r="AD55" i="1" s="1"/>
  <c r="Z56" i="1"/>
  <c r="AB56" i="1" s="1"/>
  <c r="AD56" i="1" s="1"/>
  <c r="Z57" i="1"/>
  <c r="AB57" i="1" s="1"/>
  <c r="AD57" i="1" s="1"/>
  <c r="Z58" i="1"/>
  <c r="AB58" i="1" s="1"/>
  <c r="AD58" i="1" s="1"/>
  <c r="Z59" i="1"/>
  <c r="AB59" i="1" s="1"/>
  <c r="AD59" i="1" s="1"/>
  <c r="Z60" i="1"/>
  <c r="AB95" i="1"/>
  <c r="AD95" i="1" s="1"/>
  <c r="Z96" i="1"/>
  <c r="AB96" i="1" s="1"/>
  <c r="AD96" i="1" s="1"/>
  <c r="Z97" i="1"/>
  <c r="AB97" i="1" s="1"/>
  <c r="AD97" i="1" s="1"/>
  <c r="Z98" i="1"/>
  <c r="AB98" i="1" s="1"/>
  <c r="AD98" i="1" s="1"/>
  <c r="Z99" i="1"/>
  <c r="AB99" i="1" s="1"/>
  <c r="AD99" i="1" s="1"/>
  <c r="Z100" i="1"/>
  <c r="AB100" i="1" s="1"/>
  <c r="AD100" i="1" s="1"/>
  <c r="Z101" i="1"/>
  <c r="AB101" i="1" s="1"/>
  <c r="AD101" i="1" s="1"/>
  <c r="Z102" i="1"/>
  <c r="AB102" i="1" s="1"/>
  <c r="AD102" i="1" s="1"/>
  <c r="Z103" i="1"/>
  <c r="AB103" i="1" s="1"/>
  <c r="AD103" i="1" s="1"/>
  <c r="Z104" i="1"/>
  <c r="AB104" i="1" s="1"/>
  <c r="AD104" i="1" s="1"/>
  <c r="Z105" i="1"/>
  <c r="AB105" i="1" s="1"/>
  <c r="AD105" i="1" s="1"/>
  <c r="Z106" i="1"/>
  <c r="AB106" i="1" s="1"/>
  <c r="AD106" i="1" s="1"/>
  <c r="Z107" i="1"/>
  <c r="AD49" i="1" l="1"/>
  <c r="AB66" i="1"/>
  <c r="AH184" i="1"/>
  <c r="AF184" i="1"/>
  <c r="AE184" i="1"/>
  <c r="AC184" i="1"/>
  <c r="AH135" i="1"/>
  <c r="AF135" i="1"/>
  <c r="AE135" i="1"/>
  <c r="AC135" i="1"/>
  <c r="AH112" i="1"/>
  <c r="AF112" i="1"/>
  <c r="AE112" i="1"/>
  <c r="AC112" i="1"/>
  <c r="AH89" i="1"/>
  <c r="AF89" i="1"/>
  <c r="AE89" i="1"/>
  <c r="AC89" i="1"/>
  <c r="AH66" i="1"/>
  <c r="AF66" i="1"/>
  <c r="AC66" i="1"/>
  <c r="AH43" i="1"/>
  <c r="AH20" i="1"/>
  <c r="AF20" i="1"/>
  <c r="AE20" i="1"/>
  <c r="AC20" i="1"/>
  <c r="AB20" i="1" l="1"/>
  <c r="AD20" i="1" s="1"/>
  <c r="AB89" i="1"/>
  <c r="AD89" i="1" s="1"/>
  <c r="AD66" i="1"/>
  <c r="AB112" i="1"/>
  <c r="AD112" i="1" s="1"/>
  <c r="AB184" i="1"/>
  <c r="AD184" i="1" s="1"/>
  <c r="N76" i="1"/>
  <c r="P76" i="1" s="1"/>
  <c r="R76" i="1" s="1"/>
  <c r="P72" i="1" l="1"/>
  <c r="R72" i="1" s="1"/>
  <c r="N73" i="1"/>
  <c r="T43" i="1"/>
  <c r="S43" i="1"/>
  <c r="Q43" i="1"/>
  <c r="P26" i="1"/>
  <c r="R26" i="1" s="1"/>
  <c r="N27" i="1"/>
  <c r="P27" i="1" s="1"/>
  <c r="R27" i="1" s="1"/>
  <c r="N28" i="1"/>
  <c r="P28" i="1" s="1"/>
  <c r="R28" i="1" s="1"/>
  <c r="N29" i="1"/>
  <c r="P29" i="1" s="1"/>
  <c r="R29" i="1" s="1"/>
  <c r="N30" i="1"/>
  <c r="P30" i="1" s="1"/>
  <c r="R30" i="1" s="1"/>
  <c r="N31" i="1"/>
  <c r="P31" i="1" s="1"/>
  <c r="R31" i="1" s="1"/>
  <c r="N32" i="1"/>
  <c r="P32" i="1" s="1"/>
  <c r="R32" i="1" s="1"/>
  <c r="N33" i="1"/>
  <c r="P43" i="1" l="1"/>
  <c r="R43" i="1" s="1"/>
  <c r="Q184" i="1"/>
  <c r="S20" i="1"/>
  <c r="T66" i="1"/>
  <c r="Q66" i="1"/>
  <c r="T158" i="1"/>
  <c r="Q158" i="1"/>
  <c r="S158" i="1"/>
  <c r="S135" i="1"/>
  <c r="R121" i="1"/>
  <c r="P118" i="1"/>
  <c r="R118" i="1" s="1"/>
  <c r="S184" i="1" l="1"/>
  <c r="R171" i="1"/>
  <c r="S89" i="1"/>
  <c r="S112" i="1"/>
  <c r="Q112" i="1"/>
  <c r="N157" i="1"/>
  <c r="P157" i="1" s="1"/>
  <c r="R157" i="1" s="1"/>
  <c r="N119" i="1"/>
  <c r="P119" i="1" s="1"/>
  <c r="R119" i="1" s="1"/>
  <c r="N120" i="1"/>
  <c r="N121" i="1"/>
  <c r="N122" i="1"/>
  <c r="P122" i="1" s="1"/>
  <c r="R122" i="1" s="1"/>
  <c r="N123" i="1"/>
  <c r="P123" i="1" s="1"/>
  <c r="R123" i="1" s="1"/>
  <c r="N124" i="1"/>
  <c r="P124" i="1" s="1"/>
  <c r="R124" i="1" s="1"/>
  <c r="N125" i="1"/>
  <c r="P135" i="1" l="1"/>
  <c r="P52" i="1"/>
  <c r="R52" i="1" s="1"/>
  <c r="P49" i="1"/>
  <c r="R49" i="1" s="1"/>
  <c r="N50" i="1"/>
  <c r="P50" i="1" s="1"/>
  <c r="R50" i="1" s="1"/>
  <c r="N53" i="1"/>
  <c r="P53" i="1" s="1"/>
  <c r="R53" i="1" s="1"/>
  <c r="N54" i="1"/>
  <c r="P54" i="1" s="1"/>
  <c r="R54" i="1" s="1"/>
  <c r="N55" i="1"/>
  <c r="P55" i="1" s="1"/>
  <c r="R55" i="1" s="1"/>
  <c r="N56" i="1"/>
  <c r="P56" i="1" s="1"/>
  <c r="R56" i="1" s="1"/>
  <c r="N57" i="1"/>
  <c r="P66" i="1" l="1"/>
  <c r="R66" i="1" s="1"/>
  <c r="P73" i="1"/>
  <c r="N74" i="1"/>
  <c r="P74" i="1" s="1"/>
  <c r="R74" i="1" s="1"/>
  <c r="N75" i="1"/>
  <c r="P75" i="1" s="1"/>
  <c r="R75" i="1" s="1"/>
  <c r="N77" i="1"/>
  <c r="P77" i="1" s="1"/>
  <c r="R77" i="1" s="1"/>
  <c r="N78" i="1"/>
  <c r="P78" i="1" s="1"/>
  <c r="R78" i="1" s="1"/>
  <c r="N79" i="1"/>
  <c r="P3" i="1"/>
  <c r="N7" i="1"/>
  <c r="P7" i="1" s="1"/>
  <c r="R7" i="1" s="1"/>
  <c r="N6" i="1"/>
  <c r="P6" i="1" s="1"/>
  <c r="R6" i="1" s="1"/>
  <c r="N5" i="1"/>
  <c r="P5" i="1" s="1"/>
  <c r="R5" i="1" s="1"/>
  <c r="N4" i="1"/>
  <c r="P4" i="1" s="1"/>
  <c r="R4" i="1" s="1"/>
  <c r="R3" i="1" l="1"/>
  <c r="P20" i="1"/>
  <c r="P89" i="1"/>
  <c r="R73" i="1"/>
  <c r="P140" i="1"/>
  <c r="N141" i="1"/>
  <c r="P141" i="1" s="1"/>
  <c r="R141" i="1" s="1"/>
  <c r="N142" i="1"/>
  <c r="P142" i="1" s="1"/>
  <c r="R142" i="1" s="1"/>
  <c r="N143" i="1"/>
  <c r="P143" i="1" s="1"/>
  <c r="R143" i="1" s="1"/>
  <c r="N144" i="1"/>
  <c r="P144" i="1" s="1"/>
  <c r="R144" i="1" s="1"/>
  <c r="N145" i="1"/>
  <c r="P145" i="1" s="1"/>
  <c r="R145" i="1" s="1"/>
  <c r="N146" i="1"/>
  <c r="P146" i="1" s="1"/>
  <c r="R146" i="1" s="1"/>
  <c r="N147" i="1"/>
  <c r="P147" i="1" s="1"/>
  <c r="R147" i="1" s="1"/>
  <c r="N148" i="1"/>
  <c r="P148" i="1" s="1"/>
  <c r="R148" i="1" s="1"/>
  <c r="N149" i="1"/>
  <c r="P149" i="1" s="1"/>
  <c r="R149" i="1" s="1"/>
  <c r="N150" i="1"/>
  <c r="P150" i="1" s="1"/>
  <c r="R150" i="1" s="1"/>
  <c r="N151" i="1"/>
  <c r="P151" i="1" s="1"/>
  <c r="R151" i="1" s="1"/>
  <c r="N152" i="1"/>
  <c r="P152" i="1" s="1"/>
  <c r="R152" i="1" s="1"/>
  <c r="N153" i="1"/>
  <c r="P153" i="1" s="1"/>
  <c r="R153" i="1" s="1"/>
  <c r="N154" i="1"/>
  <c r="P154" i="1" s="1"/>
  <c r="R154" i="1" s="1"/>
  <c r="N155" i="1"/>
  <c r="P155" i="1" s="1"/>
  <c r="R155" i="1" s="1"/>
  <c r="N156" i="1"/>
  <c r="P156" i="1" s="1"/>
  <c r="R156" i="1" s="1"/>
  <c r="P167" i="1"/>
  <c r="R167" i="1" s="1"/>
  <c r="N168" i="1"/>
  <c r="P168" i="1" s="1"/>
  <c r="R168" i="1" s="1"/>
  <c r="N169" i="1"/>
  <c r="P169" i="1" s="1"/>
  <c r="R169" i="1" s="1"/>
  <c r="N170" i="1"/>
  <c r="N171" i="1"/>
  <c r="N172" i="1"/>
  <c r="P172" i="1" s="1"/>
  <c r="R172" i="1" s="1"/>
  <c r="P95" i="1"/>
  <c r="R95" i="1" s="1"/>
  <c r="N96" i="1"/>
  <c r="P96" i="1" s="1"/>
  <c r="R96" i="1" s="1"/>
  <c r="N97" i="1"/>
  <c r="P97" i="1" s="1"/>
  <c r="R97" i="1" s="1"/>
  <c r="N98" i="1"/>
  <c r="P98" i="1" s="1"/>
  <c r="R98" i="1" s="1"/>
  <c r="N99" i="1"/>
  <c r="P99" i="1" s="1"/>
  <c r="R99" i="1" s="1"/>
  <c r="N100" i="1"/>
  <c r="P100" i="1" s="1"/>
  <c r="R100" i="1" s="1"/>
  <c r="N101" i="1"/>
  <c r="P101" i="1" s="1"/>
  <c r="R101" i="1" s="1"/>
  <c r="N102" i="1"/>
  <c r="P102" i="1" s="1"/>
  <c r="R102" i="1" s="1"/>
  <c r="N103" i="1"/>
  <c r="P103" i="1" s="1"/>
  <c r="R103" i="1" s="1"/>
  <c r="N104" i="1"/>
  <c r="R140" i="1" l="1"/>
  <c r="P158" i="1"/>
  <c r="R158" i="1" s="1"/>
  <c r="P184" i="1"/>
  <c r="R184" i="1" s="1"/>
  <c r="P112" i="1"/>
  <c r="C81" i="1"/>
  <c r="C80" i="1"/>
  <c r="E80" i="1" s="1"/>
  <c r="G80" i="1" s="1"/>
  <c r="C79" i="1"/>
  <c r="E79" i="1" s="1"/>
  <c r="G79" i="1" s="1"/>
  <c r="C141" i="1" l="1"/>
  <c r="C142" i="1"/>
  <c r="C143" i="1"/>
  <c r="C144" i="1"/>
  <c r="C145" i="1"/>
  <c r="C146" i="1"/>
  <c r="C147" i="1"/>
  <c r="E147" i="1" s="1"/>
  <c r="G147" i="1" s="1"/>
  <c r="C148" i="1"/>
  <c r="E148" i="1" s="1"/>
  <c r="G148" i="1" s="1"/>
  <c r="C149" i="1"/>
  <c r="E149" i="1" s="1"/>
  <c r="G149" i="1" s="1"/>
  <c r="C150" i="1"/>
  <c r="E150" i="1" s="1"/>
  <c r="G150" i="1" s="1"/>
  <c r="C151" i="1"/>
  <c r="C152" i="1"/>
  <c r="C153" i="1"/>
  <c r="C154" i="1"/>
  <c r="C155" i="1"/>
  <c r="C156" i="1"/>
  <c r="E171" i="1" l="1"/>
  <c r="G171" i="1" s="1"/>
  <c r="F184" i="1"/>
  <c r="F157" i="1"/>
  <c r="F135" i="1"/>
  <c r="F112" i="1"/>
  <c r="F89" i="1"/>
  <c r="F66" i="1"/>
  <c r="F43" i="1"/>
  <c r="C174" i="1"/>
  <c r="E174" i="1" s="1"/>
  <c r="G174" i="1" s="1"/>
  <c r="C168" i="1"/>
  <c r="C169" i="1"/>
  <c r="C170" i="1"/>
  <c r="C172" i="1"/>
  <c r="E172" i="1" s="1"/>
  <c r="G172" i="1" s="1"/>
  <c r="C173" i="1"/>
  <c r="E173" i="1" s="1"/>
  <c r="G173" i="1" s="1"/>
  <c r="C123" i="1" l="1"/>
  <c r="E124" i="1"/>
  <c r="G124" i="1" s="1"/>
  <c r="C125" i="1"/>
  <c r="E125" i="1" s="1"/>
  <c r="G125" i="1" s="1"/>
  <c r="C126" i="1"/>
  <c r="I135" i="1"/>
  <c r="C55" i="1" l="1"/>
  <c r="G120" i="1" l="1"/>
  <c r="C119" i="1"/>
  <c r="C120" i="1"/>
  <c r="C121" i="1"/>
  <c r="E121" i="1" s="1"/>
  <c r="C122" i="1"/>
  <c r="E122" i="1" s="1"/>
  <c r="G122" i="1" s="1"/>
  <c r="G121" i="1" l="1"/>
  <c r="E135" i="1"/>
  <c r="G135" i="1" s="1"/>
  <c r="E140" i="1"/>
  <c r="E141" i="1"/>
  <c r="G141" i="1" s="1"/>
  <c r="E142" i="1"/>
  <c r="G142" i="1" s="1"/>
  <c r="E143" i="1"/>
  <c r="G143" i="1" s="1"/>
  <c r="E144" i="1"/>
  <c r="G144" i="1" s="1"/>
  <c r="E145" i="1"/>
  <c r="G145" i="1" s="1"/>
  <c r="E146" i="1"/>
  <c r="G146" i="1" s="1"/>
  <c r="E151" i="1"/>
  <c r="G151" i="1" s="1"/>
  <c r="E152" i="1"/>
  <c r="G152" i="1" s="1"/>
  <c r="E153" i="1"/>
  <c r="G153" i="1" s="1"/>
  <c r="E154" i="1"/>
  <c r="G154" i="1" s="1"/>
  <c r="E155" i="1"/>
  <c r="G155" i="1" s="1"/>
  <c r="E156" i="1"/>
  <c r="G156" i="1" s="1"/>
  <c r="E95" i="1"/>
  <c r="C96" i="1"/>
  <c r="E96" i="1" s="1"/>
  <c r="C97" i="1"/>
  <c r="E97" i="1" s="1"/>
  <c r="C98" i="1"/>
  <c r="E98" i="1" s="1"/>
  <c r="C99" i="1"/>
  <c r="E99" i="1" s="1"/>
  <c r="C100" i="1"/>
  <c r="E100" i="1" s="1"/>
  <c r="C101" i="1"/>
  <c r="E101" i="1" s="1"/>
  <c r="C102" i="1"/>
  <c r="E102" i="1" s="1"/>
  <c r="C103" i="1"/>
  <c r="E103" i="1" s="1"/>
  <c r="C104" i="1"/>
  <c r="E104" i="1" s="1"/>
  <c r="C105" i="1"/>
  <c r="E105" i="1" s="1"/>
  <c r="C106" i="1"/>
  <c r="E106" i="1" s="1"/>
  <c r="C107" i="1"/>
  <c r="E107" i="1" s="1"/>
  <c r="C108" i="1"/>
  <c r="E108" i="1" s="1"/>
  <c r="C109" i="1"/>
  <c r="E112" i="1" l="1"/>
  <c r="G112" i="1" s="1"/>
  <c r="G140" i="1"/>
  <c r="E157" i="1"/>
  <c r="G157" i="1" s="1"/>
  <c r="E49" i="1"/>
  <c r="C50" i="1"/>
  <c r="E50" i="1" s="1"/>
  <c r="G50" i="1" s="1"/>
  <c r="C51" i="1"/>
  <c r="E51" i="1" s="1"/>
  <c r="G51" i="1" s="1"/>
  <c r="C52" i="1"/>
  <c r="E52" i="1" s="1"/>
  <c r="G52" i="1" s="1"/>
  <c r="C53" i="1"/>
  <c r="E53" i="1" s="1"/>
  <c r="G53" i="1" s="1"/>
  <c r="C54" i="1"/>
  <c r="E54" i="1" s="1"/>
  <c r="G54" i="1" s="1"/>
  <c r="E55" i="1"/>
  <c r="G55" i="1" s="1"/>
  <c r="C56" i="1"/>
  <c r="E170" i="1"/>
  <c r="G170" i="1" s="1"/>
  <c r="E167" i="1"/>
  <c r="E168" i="1"/>
  <c r="G168" i="1" s="1"/>
  <c r="E169" i="1"/>
  <c r="G169" i="1" s="1"/>
  <c r="G49" i="1" l="1"/>
  <c r="E66" i="1"/>
  <c r="G66" i="1" s="1"/>
  <c r="G167" i="1"/>
  <c r="E184" i="1"/>
  <c r="G184" i="1" s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77" i="1"/>
  <c r="C78" i="1"/>
  <c r="E78" i="1" s="1"/>
  <c r="G78" i="1" s="1"/>
  <c r="C77" i="1"/>
  <c r="C76" i="1"/>
  <c r="C75" i="1"/>
  <c r="E75" i="1" s="1"/>
  <c r="G75" i="1" s="1"/>
  <c r="C74" i="1"/>
  <c r="E74" i="1" s="1"/>
  <c r="G74" i="1" s="1"/>
  <c r="C37" i="1" l="1"/>
  <c r="C36" i="1"/>
  <c r="E36" i="1" s="1"/>
  <c r="G36" i="1" s="1"/>
  <c r="E35" i="1"/>
  <c r="C33" i="1"/>
  <c r="E33" i="1" s="1"/>
  <c r="G33" i="1" s="1"/>
  <c r="C27" i="1"/>
  <c r="E27" i="1" s="1"/>
  <c r="G27" i="1" s="1"/>
  <c r="C28" i="1"/>
  <c r="E28" i="1" s="1"/>
  <c r="G28" i="1" s="1"/>
  <c r="C29" i="1"/>
  <c r="C30" i="1"/>
  <c r="E30" i="1" s="1"/>
  <c r="G30" i="1" s="1"/>
  <c r="C31" i="1"/>
  <c r="E31" i="1" s="1"/>
  <c r="G31" i="1" s="1"/>
  <c r="C32" i="1"/>
  <c r="E32" i="1" s="1"/>
  <c r="G32" i="1" s="1"/>
  <c r="E29" i="1"/>
  <c r="G29" i="1" s="1"/>
  <c r="E26" i="1"/>
  <c r="G26" i="1" s="1"/>
  <c r="G35" i="1" l="1"/>
  <c r="E43" i="1"/>
  <c r="G43" i="1" s="1"/>
  <c r="V184" i="1"/>
  <c r="T184" i="1"/>
  <c r="K184" i="1"/>
  <c r="I184" i="1"/>
  <c r="V157" i="1"/>
  <c r="K157" i="1"/>
  <c r="I157" i="1"/>
  <c r="V135" i="1"/>
  <c r="T135" i="1"/>
  <c r="Q135" i="1"/>
  <c r="R135" i="1" s="1"/>
  <c r="K135" i="1"/>
  <c r="V112" i="1"/>
  <c r="T112" i="1"/>
  <c r="K112" i="1"/>
  <c r="I112" i="1"/>
  <c r="V89" i="1"/>
  <c r="T89" i="1"/>
  <c r="Q89" i="1"/>
  <c r="R89" i="1" s="1"/>
  <c r="K89" i="1"/>
  <c r="I89" i="1"/>
  <c r="V66" i="1"/>
  <c r="K66" i="1"/>
  <c r="I66" i="1"/>
  <c r="V43" i="1"/>
  <c r="K43" i="1"/>
  <c r="I43" i="1"/>
  <c r="V20" i="1"/>
  <c r="T20" i="1"/>
  <c r="Q20" i="1"/>
  <c r="K20" i="1"/>
  <c r="R20" i="1" l="1"/>
  <c r="R112" i="1"/>
  <c r="C73" i="1"/>
  <c r="E73" i="1" s="1"/>
  <c r="G73" i="1" s="1"/>
  <c r="E72" i="1"/>
  <c r="G72" i="1" s="1"/>
  <c r="E89" i="1" l="1"/>
  <c r="G89" i="1" s="1"/>
  <c r="Z119" i="1"/>
  <c r="AB119" i="1"/>
  <c r="AD119" i="1" s="1"/>
  <c r="AB118" i="1"/>
  <c r="AD118" i="1" s="1"/>
  <c r="AB135" i="1" l="1"/>
  <c r="AD135" i="1" s="1"/>
</calcChain>
</file>

<file path=xl/sharedStrings.xml><?xml version="1.0" encoding="utf-8"?>
<sst xmlns="http://schemas.openxmlformats.org/spreadsheetml/2006/main" count="1040" uniqueCount="135">
  <si>
    <t>Data</t>
  </si>
  <si>
    <t>KM Inicial</t>
  </si>
  <si>
    <t>KM Final</t>
  </si>
  <si>
    <t>KM Rodado</t>
  </si>
  <si>
    <t>Consumo Lt</t>
  </si>
  <si>
    <t>Média</t>
  </si>
  <si>
    <t xml:space="preserve">Valor </t>
  </si>
  <si>
    <t>Despesas</t>
  </si>
  <si>
    <t xml:space="preserve">Seguro Carreta </t>
  </si>
  <si>
    <t>Onix</t>
  </si>
  <si>
    <t xml:space="preserve">Total </t>
  </si>
  <si>
    <t xml:space="preserve">Placa </t>
  </si>
  <si>
    <t>PRB0D89</t>
  </si>
  <si>
    <t>PRB0E49</t>
  </si>
  <si>
    <t>TJD0D09</t>
  </si>
  <si>
    <t>FKM6A46</t>
  </si>
  <si>
    <t>FKC6H71</t>
  </si>
  <si>
    <t>FCQ5G43</t>
  </si>
  <si>
    <t>STE0J12</t>
  </si>
  <si>
    <t>GJA4J12</t>
  </si>
  <si>
    <t>AUTOTRAC</t>
  </si>
  <si>
    <t>ARLA/L</t>
  </si>
  <si>
    <t>LAV 19/01/26</t>
  </si>
  <si>
    <t>CONSERTO PNEU</t>
  </si>
  <si>
    <t>ELÉTRICA SIRENE</t>
  </si>
  <si>
    <t>LAVAGEM</t>
  </si>
  <si>
    <t>RESERVATÓRIO</t>
  </si>
  <si>
    <t>MÃO DE OBRA</t>
  </si>
  <si>
    <t>RETROVISOR</t>
  </si>
  <si>
    <t xml:space="preserve">CX DE DISCO </t>
  </si>
  <si>
    <t xml:space="preserve">FILTRO S10 </t>
  </si>
  <si>
    <t>FAROL E OUTROS</t>
  </si>
  <si>
    <t>CALIBRAGEM CÂMBIO E SOS RS</t>
  </si>
  <si>
    <t>TAMP ARLA 27/01</t>
  </si>
  <si>
    <t>LAVAGEM 27/01</t>
  </si>
  <si>
    <t>CONSERTO SETA</t>
  </si>
  <si>
    <t>COMPRESSOR</t>
  </si>
  <si>
    <t>FILTROS</t>
  </si>
  <si>
    <t>ANTENA</t>
  </si>
  <si>
    <t>HOTEL RJ</t>
  </si>
  <si>
    <t>HOTEL SJC</t>
  </si>
  <si>
    <t>BARE</t>
  </si>
  <si>
    <t>TROCA ENGATE</t>
  </si>
  <si>
    <t>TROCA SOQUETE</t>
  </si>
  <si>
    <t>BOLSÃO DE AR</t>
  </si>
  <si>
    <t>TROCA FILTRO</t>
  </si>
  <si>
    <t>LUZ BATERIA</t>
  </si>
  <si>
    <t>SIRENE RÉ</t>
  </si>
  <si>
    <t>LAVADOR</t>
  </si>
  <si>
    <t>CONS AR CONDICIONADO</t>
  </si>
  <si>
    <t>MO ELÉTRICA</t>
  </si>
  <si>
    <t>MANGUEIRA RADIADOR E FILTRO</t>
  </si>
  <si>
    <t>DIAG CALIBRAÇÃO</t>
  </si>
  <si>
    <t>TRANF. ENERGIA</t>
  </si>
  <si>
    <t>CALIBRAGEM</t>
  </si>
  <si>
    <t>TAMPA TANQUE</t>
  </si>
  <si>
    <t>FABIO</t>
  </si>
  <si>
    <t>AMORTECEDORES /PEÇAS</t>
  </si>
  <si>
    <t>PINTURA</t>
  </si>
  <si>
    <t>BOTA SEGURANÇA</t>
  </si>
  <si>
    <t>BATERIAS</t>
  </si>
  <si>
    <t>DESENGRIPAMENTO</t>
  </si>
  <si>
    <t>PNEU</t>
  </si>
  <si>
    <t>MO FÁBIO</t>
  </si>
  <si>
    <t>SETA</t>
  </si>
  <si>
    <t>ESPELHO RETROVISOR</t>
  </si>
  <si>
    <t>BOMBINHA ÁGUA</t>
  </si>
  <si>
    <t>GANCHO CORTINA</t>
  </si>
  <si>
    <t>CONSERTO CARRETA</t>
  </si>
  <si>
    <t>PALHETA</t>
  </si>
  <si>
    <t>ELETRICA</t>
  </si>
  <si>
    <t>TROCA DE ÓLEO</t>
  </si>
  <si>
    <t>TROCA FILTRO 622803KM</t>
  </si>
  <si>
    <t>POLIMENTO</t>
  </si>
  <si>
    <t>REMENDO MANTA</t>
  </si>
  <si>
    <t>Total</t>
  </si>
  <si>
    <t>2 PNEUS DIANTEIROS</t>
  </si>
  <si>
    <t>LUBRIFICAÇÃO</t>
  </si>
  <si>
    <t>PAR DE FILTROS</t>
  </si>
  <si>
    <t>S1 E RACCOR</t>
  </si>
  <si>
    <t>FILTRO DE AR</t>
  </si>
  <si>
    <t>LAVAÇÃO</t>
  </si>
  <si>
    <t>AMORTECEDOR</t>
  </si>
  <si>
    <t>TROCA PNEU TRAÇÃO</t>
  </si>
  <si>
    <t>ELÉTRICA LANTERNA TRASEIRA</t>
  </si>
  <si>
    <t>DISCO DE TACÓGRAFO</t>
  </si>
  <si>
    <t>MÃO DE OBRA TROCA AMORTECEDORES</t>
  </si>
  <si>
    <t>2 PCT MICROESFERA BALANCEAMENTO</t>
  </si>
  <si>
    <t>TROCA PNEUS DIANTEIROS M.O</t>
  </si>
  <si>
    <t>ELETRECISTA</t>
  </si>
  <si>
    <t>ÓLEO MOTOR</t>
  </si>
  <si>
    <t>????</t>
  </si>
  <si>
    <t>TROCA PNEU</t>
  </si>
  <si>
    <t>VAZAMENTO CATER</t>
  </si>
  <si>
    <t>TROCA ÓLEO</t>
  </si>
  <si>
    <t>FILTROS DIESEL</t>
  </si>
  <si>
    <t>ENGRAXA</t>
  </si>
  <si>
    <t>CONEXÃO AR</t>
  </si>
  <si>
    <t>MAX S10</t>
  </si>
  <si>
    <t>STEOJ52</t>
  </si>
  <si>
    <t>COLETE</t>
  </si>
  <si>
    <t>CORTINA/CAP PORCA</t>
  </si>
  <si>
    <t>LAMPADAS INTERNAS</t>
  </si>
  <si>
    <t>TROCA ÓLEO MOTOR</t>
  </si>
  <si>
    <t>CALIBRACÃO PNEU</t>
  </si>
  <si>
    <t>TROCA ÓLEO E FILTRO</t>
  </si>
  <si>
    <t>PNEUS DIANTEIROS</t>
  </si>
  <si>
    <t>PNEUS TRAÇÃO</t>
  </si>
  <si>
    <t>SERVIÇO</t>
  </si>
  <si>
    <t>FILTRO DE ÓLEO</t>
  </si>
  <si>
    <t>FVZ3A72</t>
  </si>
  <si>
    <t>MANGUEIRA AR</t>
  </si>
  <si>
    <t>SUPORTE DE GÁS INTALADO</t>
  </si>
  <si>
    <t>REVISÃO 200.000</t>
  </si>
  <si>
    <t>2 PNEUS</t>
  </si>
  <si>
    <t>BUCHAS CABINE</t>
  </si>
  <si>
    <t>M.O TROCA PNEUS</t>
  </si>
  <si>
    <t>ESFERAS BALANCEAMENTO</t>
  </si>
  <si>
    <t>M.O MECÂNICO</t>
  </si>
  <si>
    <t>MOTOR VENTILADOR</t>
  </si>
  <si>
    <t>IPVA</t>
  </si>
  <si>
    <t>EMBREAGEM</t>
  </si>
  <si>
    <t>BOMBA DE ALTA 01/03</t>
  </si>
  <si>
    <t>ESCAPAMENTO</t>
  </si>
  <si>
    <t>GARFO EMBREAGEM</t>
  </si>
  <si>
    <t>MANGUEIRA ARLA</t>
  </si>
  <si>
    <t>CONSERTO BANCO</t>
  </si>
  <si>
    <t>LAVAGEM CAVALO</t>
  </si>
  <si>
    <t>ENGATE</t>
  </si>
  <si>
    <t>TAMPA DO TANQUE</t>
  </si>
  <si>
    <t>VÁLVULA CARRETA</t>
  </si>
  <si>
    <t>FOLGA TUBO CARRETA</t>
  </si>
  <si>
    <t>TROCA PNEU RODÍZIO</t>
  </si>
  <si>
    <t>FILTRO ÓLEO TROCA</t>
  </si>
  <si>
    <t>M.O FILTRO DE ÓLEO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</si>
</sst>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-&quot;R$&quot;* #,##0.00_-;\-&quot;R$&quot;* #,##0.00_-;_-&quot;R$&quot;* &quot;-&quot;??_-;_-@_-"/>
    <numFmt numFmtId="164" formatCode="_-&quot;R$&quot;\ * #,##0.00_-;\-&quot;R$&quot;\ * #,##0.00_-;_-&quot;R$&quot;\ * &quot;-&quot;??_-;_-@_-"/>
  </numFmts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charset val="1"/>
    </font>
    <font>
      <sz val="1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scheme val="minor"/>
    </font>
    <font>
      <sz val="11"/>
      <name val="Calibri"/>
      <scheme val="minor"/>
    </font>
    <font>
      <sz val="11"/>
      <color theme="1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rgb="FF05286A"/>
      </patternFill>
    </fill>
    <fill>
      <patternFill patternType="solid">
        <fgColor theme="5" tint="-0.249977111117893"/>
        <bgColor rgb="FF05286A"/>
      </patternFill>
    </fill>
    <fill>
      <patternFill patternType="solid">
        <fgColor theme="4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9"/>
      </left>
      <right style="thin">
        <color theme="9"/>
      </right>
      <top style="double">
        <color theme="9"/>
      </top>
      <bottom style="thin">
        <color theme="9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78">
    <xf numFmtId="0" fontId="0" fillId="0" borderId="0" xfId="0"/>
    <xf numFmtId="0" fontId="4" fillId="2" borderId="1" xfId="0" applyFont="1" applyFill="1" applyBorder="1" applyAlignment="1">
      <alignment horizontal="center"/>
    </xf>
    <xf numFmtId="164" fontId="4" fillId="2" borderId="2" xfId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64" fontId="4" fillId="3" borderId="2" xfId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164" fontId="2" fillId="0" borderId="0" xfId="1" applyFont="1" applyAlignment="1">
      <alignment horizontal="center"/>
    </xf>
    <xf numFmtId="164" fontId="0" fillId="0" borderId="0" xfId="1" applyFont="1"/>
    <xf numFmtId="16" fontId="0" fillId="0" borderId="0" xfId="0" applyNumberFormat="1" applyAlignment="1">
      <alignment horizontal="center"/>
    </xf>
    <xf numFmtId="0" fontId="5" fillId="0" borderId="0" xfId="0" applyFont="1" applyAlignment="1">
      <alignment horizontal="center"/>
    </xf>
    <xf numFmtId="2" fontId="5" fillId="0" borderId="0" xfId="0" applyNumberFormat="1" applyFont="1" applyAlignment="1">
      <alignment horizontal="center"/>
    </xf>
    <xf numFmtId="164" fontId="5" fillId="0" borderId="0" xfId="1" applyFont="1" applyAlignment="1">
      <alignment horizontal="center"/>
    </xf>
    <xf numFmtId="164" fontId="0" fillId="0" borderId="0" xfId="1" applyFont="1" applyAlignment="1">
      <alignment horizontal="center"/>
    </xf>
    <xf numFmtId="164" fontId="1" fillId="0" borderId="0" xfId="1" applyFont="1"/>
    <xf numFmtId="0" fontId="3" fillId="0" borderId="0" xfId="0" applyFont="1" applyAlignment="1">
      <alignment horizontal="center"/>
    </xf>
    <xf numFmtId="16" fontId="5" fillId="0" borderId="0" xfId="0" applyNumberFormat="1" applyFont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5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164" fontId="8" fillId="0" borderId="0" xfId="1" applyFont="1" applyAlignment="1">
      <alignment horizontal="center"/>
    </xf>
    <xf numFmtId="164" fontId="3" fillId="0" borderId="0" xfId="1" applyFont="1"/>
    <xf numFmtId="164" fontId="3" fillId="0" borderId="0" xfId="1" applyFont="1" applyAlignment="1">
      <alignment horizontal="center"/>
    </xf>
    <xf numFmtId="0" fontId="3" fillId="0" borderId="0" xfId="1" applyNumberFormat="1" applyFont="1" applyAlignment="1">
      <alignment horizontal="center"/>
    </xf>
    <xf numFmtId="0" fontId="0" fillId="0" borderId="0" xfId="0" applyFont="1"/>
    <xf numFmtId="0" fontId="8" fillId="0" borderId="0" xfId="1" applyNumberFormat="1" applyFont="1" applyAlignment="1">
      <alignment horizontal="center"/>
    </xf>
    <xf numFmtId="164" fontId="8" fillId="0" borderId="0" xfId="1" applyFont="1" applyFill="1" applyAlignment="1">
      <alignment horizontal="center"/>
    </xf>
    <xf numFmtId="164" fontId="3" fillId="0" borderId="0" xfId="1" applyFont="1" applyFill="1" applyAlignment="1">
      <alignment horizontal="center"/>
    </xf>
    <xf numFmtId="2" fontId="8" fillId="0" borderId="0" xfId="0" applyNumberFormat="1" applyFont="1" applyAlignment="1">
      <alignment horizontal="center"/>
    </xf>
    <xf numFmtId="2" fontId="8" fillId="0" borderId="0" xfId="1" applyNumberFormat="1" applyFont="1" applyAlignment="1">
      <alignment horizontal="center"/>
    </xf>
    <xf numFmtId="2" fontId="3" fillId="0" borderId="0" xfId="1" applyNumberFormat="1" applyFont="1" applyAlignment="1">
      <alignment horizontal="center"/>
    </xf>
    <xf numFmtId="2" fontId="5" fillId="0" borderId="0" xfId="0" applyNumberFormat="1" applyFont="1" applyFill="1" applyAlignment="1">
      <alignment horizontal="center"/>
    </xf>
    <xf numFmtId="0" fontId="9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2" fontId="10" fillId="0" borderId="0" xfId="0" applyNumberFormat="1" applyFont="1" applyAlignment="1">
      <alignment horizontal="center"/>
    </xf>
    <xf numFmtId="164" fontId="11" fillId="0" borderId="0" xfId="1" applyFont="1" applyAlignment="1">
      <alignment horizontal="center"/>
    </xf>
    <xf numFmtId="0" fontId="5" fillId="0" borderId="0" xfId="0" applyFont="1"/>
    <xf numFmtId="164" fontId="5" fillId="0" borderId="0" xfId="1" applyFont="1"/>
    <xf numFmtId="16" fontId="0" fillId="0" borderId="0" xfId="0" applyNumberFormat="1" applyFont="1" applyAlignment="1">
      <alignment horizontal="center"/>
    </xf>
    <xf numFmtId="0" fontId="0" fillId="0" borderId="0" xfId="0" applyFont="1" applyAlignment="1">
      <alignment horizontal="center"/>
    </xf>
    <xf numFmtId="164" fontId="1" fillId="0" borderId="0" xfId="1" applyFont="1" applyAlignment="1">
      <alignment horizontal="center"/>
    </xf>
    <xf numFmtId="44" fontId="5" fillId="0" borderId="0" xfId="0" applyNumberFormat="1" applyFont="1" applyAlignment="1">
      <alignment horizontal="center"/>
    </xf>
    <xf numFmtId="44" fontId="5" fillId="0" borderId="0" xfId="1" applyNumberFormat="1" applyFont="1" applyAlignment="1">
      <alignment horizontal="center"/>
    </xf>
    <xf numFmtId="44" fontId="0" fillId="0" borderId="0" xfId="1" applyNumberFormat="1" applyFont="1" applyAlignment="1">
      <alignment horizontal="center"/>
    </xf>
    <xf numFmtId="0" fontId="3" fillId="0" borderId="0" xfId="0" applyNumberFormat="1" applyFont="1" applyAlignment="1">
      <alignment horizontal="center"/>
    </xf>
    <xf numFmtId="44" fontId="3" fillId="0" borderId="0" xfId="1" applyNumberFormat="1" applyFont="1" applyAlignment="1">
      <alignment horizontal="center"/>
    </xf>
    <xf numFmtId="0" fontId="1" fillId="0" borderId="0" xfId="1" applyNumberFormat="1" applyFont="1" applyAlignment="1">
      <alignment horizontal="center"/>
    </xf>
    <xf numFmtId="0" fontId="0" fillId="0" borderId="0" xfId="0" applyNumberFormat="1" applyFont="1" applyAlignment="1">
      <alignment horizontal="center"/>
    </xf>
    <xf numFmtId="16" fontId="0" fillId="0" borderId="0" xfId="0" applyNumberFormat="1"/>
    <xf numFmtId="0" fontId="10" fillId="0" borderId="0" xfId="0" applyNumberFormat="1" applyFont="1" applyAlignment="1">
      <alignment horizontal="center"/>
    </xf>
    <xf numFmtId="16" fontId="1" fillId="0" borderId="0" xfId="1" applyNumberFormat="1" applyFont="1" applyAlignment="1">
      <alignment horizontal="center"/>
    </xf>
    <xf numFmtId="2" fontId="1" fillId="0" borderId="0" xfId="1" applyNumberFormat="1" applyFont="1" applyAlignment="1">
      <alignment horizontal="center"/>
    </xf>
    <xf numFmtId="164" fontId="1" fillId="0" borderId="0" xfId="1" applyFont="1" applyFill="1" applyAlignment="1">
      <alignment horizontal="center"/>
    </xf>
    <xf numFmtId="2" fontId="0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/>
    </xf>
    <xf numFmtId="0" fontId="8" fillId="0" borderId="0" xfId="0" applyNumberFormat="1" applyFont="1" applyAlignment="1">
      <alignment horizontal="center"/>
    </xf>
    <xf numFmtId="164" fontId="0" fillId="0" borderId="0" xfId="0" applyNumberFormat="1"/>
    <xf numFmtId="164" fontId="5" fillId="0" borderId="0" xfId="0" applyNumberFormat="1" applyFont="1" applyAlignment="1">
      <alignment horizontal="center"/>
    </xf>
    <xf numFmtId="16" fontId="3" fillId="0" borderId="0" xfId="0" applyNumberFormat="1" applyFont="1" applyAlignment="1">
      <alignment horizontal="center"/>
    </xf>
    <xf numFmtId="0" fontId="12" fillId="0" borderId="0" xfId="0" applyNumberFormat="1" applyFont="1" applyAlignment="1">
      <alignment horizontal="center"/>
    </xf>
    <xf numFmtId="2" fontId="13" fillId="0" borderId="0" xfId="0" applyNumberFormat="1" applyFont="1" applyAlignment="1">
      <alignment horizontal="center"/>
    </xf>
    <xf numFmtId="164" fontId="14" fillId="0" borderId="0" xfId="0" applyNumberFormat="1" applyFont="1" applyAlignment="1">
      <alignment horizontal="center"/>
    </xf>
    <xf numFmtId="16" fontId="0" fillId="0" borderId="4" xfId="0" applyNumberFormat="1" applyFont="1" applyBorder="1" applyAlignment="1">
      <alignment horizontal="center"/>
    </xf>
    <xf numFmtId="0" fontId="0" fillId="0" borderId="4" xfId="0" applyNumberFormat="1" applyFont="1" applyBorder="1" applyAlignment="1">
      <alignment horizontal="center"/>
    </xf>
    <xf numFmtId="0" fontId="0" fillId="0" borderId="4" xfId="0" applyFont="1" applyBorder="1" applyAlignment="1">
      <alignment horizontal="center"/>
    </xf>
    <xf numFmtId="2" fontId="0" fillId="0" borderId="4" xfId="0" applyNumberFormat="1" applyFont="1" applyBorder="1" applyAlignment="1">
      <alignment horizontal="center"/>
    </xf>
    <xf numFmtId="0" fontId="5" fillId="0" borderId="3" xfId="0" applyNumberFormat="1" applyFont="1" applyBorder="1" applyAlignment="1">
      <alignment horizontal="center"/>
    </xf>
    <xf numFmtId="164" fontId="0" fillId="0" borderId="4" xfId="1" applyFont="1" applyBorder="1" applyAlignment="1">
      <alignment horizontal="center"/>
    </xf>
    <xf numFmtId="0" fontId="5" fillId="0" borderId="4" xfId="0" applyNumberFormat="1" applyFont="1" applyBorder="1" applyAlignment="1">
      <alignment horizontal="center"/>
    </xf>
    <xf numFmtId="2" fontId="5" fillId="0" borderId="0" xfId="1" applyNumberFormat="1" applyFont="1" applyAlignment="1">
      <alignment horizontal="center"/>
    </xf>
    <xf numFmtId="2" fontId="0" fillId="0" borderId="0" xfId="1" applyNumberFormat="1" applyFont="1" applyAlignment="1">
      <alignment horizontal="center"/>
    </xf>
    <xf numFmtId="17" fontId="6" fillId="0" borderId="0" xfId="0" applyNumberFormat="1" applyFont="1" applyAlignment="1">
      <alignment horizontal="center"/>
    </xf>
    <xf numFmtId="0" fontId="7" fillId="4" borderId="0" xfId="0" applyFont="1" applyFill="1" applyAlignment="1">
      <alignment horizontal="center" vertical="center" textRotation="90"/>
    </xf>
    <xf numFmtId="17" fontId="6" fillId="0" borderId="0" xfId="0" applyNumberFormat="1" applyFont="1" applyFill="1" applyAlignment="1">
      <alignment horizontal="center"/>
    </xf>
    <xf numFmtId="0" fontId="7" fillId="4" borderId="5" xfId="0" applyFont="1" applyFill="1" applyBorder="1" applyAlignment="1">
      <alignment horizontal="center" vertical="center" textRotation="90"/>
    </xf>
    <xf numFmtId="0" fontId="7" fillId="4" borderId="0" xfId="0" applyFont="1" applyFill="1" applyBorder="1" applyAlignment="1">
      <alignment horizontal="center" vertical="center" textRotation="90"/>
    </xf>
    <xf numFmtId="0" fontId="3" fillId="0" borderId="4" xfId="0" applyFont="1" applyBorder="1" applyAlignment="1">
      <alignment horizontal="center"/>
    </xf>
    <xf numFmtId="2" fontId="2" fillId="0" borderId="0" xfId="0" applyNumberFormat="1" applyFont="1" applyAlignment="1">
      <alignment horizontal="center"/>
    </xf>
  </cellXfs>
  <cellStyles count="2">
    <cellStyle name="Moeda" xfId="1" builtinId="4"/>
    <cellStyle name="Normal" xfId="0" builtinId="0"/>
  </cellStyles>
  <dxfs count="83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05286A"/>
          <bgColor theme="5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2" formatCode="0.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05286A"/>
          <bgColor rgb="FF00206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05286A"/>
          <bgColor theme="5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2" formatCode="0.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21" formatCode="dd/mmm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05286A"/>
          <bgColor rgb="FF00206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05286A"/>
          <bgColor theme="5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2" formatCode="0.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05286A"/>
          <bgColor rgb="FF00206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05286A"/>
          <bgColor theme="5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05286A"/>
          <bgColor rgb="FF00206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05286A"/>
          <bgColor theme="5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2" formatCode="0.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05286A"/>
          <bgColor rgb="FF00206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05286A"/>
          <bgColor theme="5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2" formatCode="0.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05286A"/>
          <bgColor rgb="FF00206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05286A"/>
          <bgColor theme="5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05286A"/>
          <bgColor rgb="FF00206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05286A"/>
          <bgColor theme="5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05286A"/>
          <bgColor rgb="FF00206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05286A"/>
          <bgColor theme="5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05286A"/>
          <bgColor rgb="FF00206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05286A"/>
          <bgColor theme="5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05286A"/>
          <bgColor rgb="FF00206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05286A"/>
          <bgColor rgb="FF00206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05286A"/>
          <bgColor theme="5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05286A"/>
          <bgColor rgb="FF00206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05286A"/>
          <bgColor theme="5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2" formatCode="0.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21" formatCode="dd/mmm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05286A"/>
          <bgColor rgb="FF00206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05286A"/>
          <bgColor theme="5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2" formatCode="0.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2" formatCode="0.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05286A"/>
          <bgColor rgb="FF00206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05286A"/>
          <bgColor theme="5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05286A"/>
          <bgColor theme="5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2" formatCode="0.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2" formatCode="0.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2" formatCode="0.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05286A"/>
          <bgColor rgb="FF00206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05286A"/>
          <bgColor theme="5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2" formatCode="0.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2" formatCode="0.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2" formatCode="0.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05286A"/>
          <bgColor rgb="FF00206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05286A"/>
          <bgColor theme="5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05286A"/>
          <bgColor rgb="FF00206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05286A"/>
          <bgColor theme="5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05286A"/>
          <bgColor rgb="FF00206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05286A"/>
          <bgColor theme="5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05286A"/>
          <bgColor rgb="FF00206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05286A"/>
          <bgColor theme="5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05286A"/>
          <bgColor rgb="FF00206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05286A"/>
          <bgColor theme="5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-&quot;R$&quot;* #,##0.00_-;\-&quot;R$&quot;* #,##0.00_-;_-&quot;R$&quot;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05286A"/>
          <bgColor rgb="FF00206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05286A"/>
          <bgColor theme="5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05286A"/>
          <bgColor theme="5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-&quot;R$&quot;* #,##0.00_-;\-&quot;R$&quot;* #,##0.00_-;_-&quot;R$&quot;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05286A"/>
          <bgColor rgb="FF00206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05286A"/>
          <bgColor theme="5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-&quot;R$&quot;* #,##0.00_-;\-&quot;R$&quot;* #,##0.00_-;_-&quot;R$&quot;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05286A"/>
          <bgColor rgb="FF00206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alignment horizontal="center" vertical="bottom" textRotation="0" wrapText="0" indent="0" justifyLastLine="0" shrinkToFit="0" readingOrder="0"/>
    </dxf>
    <dxf>
      <font>
        <b val="0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1" formatCode="dd/mmm"/>
      <alignment horizontal="center" vertical="bottom" textRotation="0" wrapText="0" indent="0" justifyLastLine="0" shrinkToFit="0" readingOrder="0"/>
    </dxf>
    <dxf>
      <font>
        <b val="0"/>
      </font>
      <alignment horizontal="center" vertical="bottom" textRotation="0" wrapText="0" indent="0" justifyLastLine="0" shrinkToFit="0" readingOrder="0"/>
    </dxf>
    <dxf>
      <font>
        <b val="0"/>
      </font>
    </dxf>
    <dxf>
      <font>
        <b val="0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05286A"/>
          <bgColor rgb="FF00206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05286A"/>
          <bgColor theme="5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05286A"/>
          <bgColor rgb="FF00206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05286A"/>
          <bgColor theme="5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</font>
      <numFmt numFmtId="2" formatCode="0.00"/>
      <alignment horizontal="center" vertical="bottom" textRotation="0" wrapText="0" indent="0" justifyLastLine="0" shrinkToFit="0" readingOrder="0"/>
    </dxf>
    <dxf>
      <font>
        <b val="0"/>
      </font>
      <alignment horizontal="center" vertical="bottom" textRotation="0" wrapText="0" indent="0" justifyLastLine="0" shrinkToFit="0" readingOrder="0"/>
    </dxf>
    <dxf>
      <font>
        <b val="0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</font>
      <alignment horizontal="center" vertical="bottom" textRotation="0" wrapText="0" indent="0" justifyLastLine="0" shrinkToFit="0" readingOrder="0"/>
    </dxf>
    <dxf>
      <font>
        <b val="0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05286A"/>
          <bgColor rgb="FF00206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05286A"/>
          <bgColor theme="5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05286A"/>
          <bgColor rgb="FF00206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05286A"/>
          <bgColor theme="5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05286A"/>
          <bgColor rgb="FF00206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05286A"/>
          <bgColor theme="5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05286A"/>
          <bgColor rgb="FF00206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05286A"/>
          <bgColor theme="5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05286A"/>
          <bgColor rgb="FF00206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05286A"/>
          <bgColor theme="5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05286A"/>
          <bgColor rgb="FF00206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05286A"/>
          <bgColor rgb="FF00206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05286A"/>
          <bgColor theme="5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-&quot;R$&quot;* #,##0.00_-;\-&quot;R$&quot;* #,##0.00_-;_-&quot;R$&quot;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05286A"/>
          <bgColor rgb="FF00206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05286A"/>
          <bgColor theme="5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font>
        <b val="0"/>
      </font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</font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</font>
      <alignment horizontal="center" vertical="bottom" textRotation="0" wrapText="0" indent="0" justifyLastLine="0" shrinkToFit="0" readingOrder="0"/>
    </dxf>
    <dxf>
      <font>
        <b val="0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05286A"/>
          <bgColor rgb="FF00206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05286A"/>
          <bgColor theme="5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05286A"/>
          <bgColor rgb="FF00206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05286A"/>
          <bgColor theme="5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</font>
      <numFmt numFmtId="2" formatCode="0.00"/>
      <alignment horizontal="center" vertical="bottom" textRotation="0" wrapText="0" indent="0" justifyLastLine="0" shrinkToFit="0" readingOrder="0"/>
    </dxf>
    <dxf>
      <font>
        <b val="0"/>
      </font>
      <alignment horizontal="center" vertical="bottom" textRotation="0" wrapText="0" indent="0" justifyLastLine="0" shrinkToFit="0" readingOrder="0"/>
    </dxf>
    <dxf>
      <font>
        <b val="0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</font>
      <alignment horizontal="center" vertical="bottom" textRotation="0" wrapText="0" indent="0" justifyLastLine="0" shrinkToFit="0" readingOrder="0"/>
    </dxf>
    <dxf>
      <font>
        <b val="0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05286A"/>
          <bgColor rgb="FF00206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05286A"/>
          <bgColor theme="5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05286A"/>
          <bgColor rgb="FF00206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05286A"/>
          <bgColor theme="5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05286A"/>
          <bgColor rgb="FF00206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05286A"/>
          <bgColor theme="5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05286A"/>
          <bgColor rgb="FF00206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05286A"/>
          <bgColor theme="5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05286A"/>
          <bgColor rgb="FF00206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05286A"/>
          <bgColor theme="5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-&quot;R$&quot;* #,##0.00_-;\-&quot;R$&quot;* #,##0.00_-;_-&quot;R$&quot;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05286A"/>
          <bgColor rgb="FF00206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05286A"/>
          <bgColor theme="5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05286A"/>
          <bgColor rgb="FF00206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05286A"/>
          <bgColor theme="5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</font>
      <numFmt numFmtId="2" formatCode="0.00"/>
      <alignment horizontal="center" vertical="bottom" textRotation="0" wrapText="0" indent="0" justifyLastLine="0" shrinkToFit="0" readingOrder="0"/>
    </dxf>
    <dxf>
      <font>
        <b val="0"/>
      </font>
      <alignment horizontal="center" vertical="bottom" textRotation="0" wrapText="0" indent="0" justifyLastLine="0" shrinkToFit="0" readingOrder="0"/>
    </dxf>
    <dxf>
      <font>
        <b val="0"/>
      </font>
      <alignment horizontal="center" vertical="bottom" textRotation="0" wrapText="0" indent="0" justifyLastLine="0" shrinkToFit="0" readingOrder="0"/>
    </dxf>
    <dxf>
      <font>
        <b val="0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</font>
      <alignment horizontal="center" vertical="bottom" textRotation="0" wrapText="0" indent="0" justifyLastLine="0" shrinkToFit="0" readingOrder="0"/>
    </dxf>
    <dxf>
      <font>
        <b val="0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05286A"/>
          <bgColor rgb="FF00206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05286A"/>
          <bgColor theme="5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05286A"/>
          <bgColor rgb="FF00206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05286A"/>
          <bgColor theme="5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05286A"/>
          <bgColor rgb="FF00206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05286A"/>
          <bgColor theme="5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05286A"/>
          <bgColor theme="5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05286A"/>
          <bgColor rgb="FF00206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05286A"/>
          <bgColor theme="5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-&quot;R$&quot;* #,##0.00_-;\-&quot;R$&quot;* #,##0.00_-;_-&quot;R$&quot;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05286A"/>
          <bgColor rgb="FF00206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05286A"/>
          <bgColor theme="5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2" formatCode="0.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05286A"/>
          <bgColor rgb="FF00206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05286A"/>
          <bgColor theme="5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font>
        <b val="0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</font>
      <alignment horizontal="center" vertical="bottom" textRotation="0" wrapText="0" indent="0" justifyLastLine="0" shrinkToFit="0" readingOrder="0"/>
    </dxf>
    <dxf>
      <font>
        <b val="0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05286A"/>
          <bgColor rgb="FF00206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05286A"/>
          <bgColor theme="5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05286A"/>
          <bgColor rgb="FF00206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05286A"/>
          <bgColor theme="5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05286A"/>
          <bgColor rgb="FF00206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05286A"/>
          <bgColor theme="5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2" formatCode="0.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05286A"/>
          <bgColor rgb="FF00206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05286A"/>
          <bgColor theme="5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2" formatCode="0.00"/>
      <alignment horizontal="center" vertical="bottom" textRotation="0" wrapText="0" indent="0" justifyLastLine="0" shrinkToFit="0" readingOrder="0"/>
    </dxf>
    <dxf>
      <font>
        <b val="0"/>
      </font>
      <numFmt numFmtId="2" formatCode="0.00"/>
      <alignment horizontal="center" vertical="bottom" textRotation="0" wrapText="0" indent="0" justifyLastLine="0" shrinkToFit="0" readingOrder="0"/>
    </dxf>
    <dxf>
      <font>
        <b val="0"/>
      </font>
      <alignment horizontal="center" vertical="bottom" textRotation="0" wrapText="0" indent="0" justifyLastLine="0" shrinkToFit="0" readingOrder="0"/>
    </dxf>
    <dxf>
      <font>
        <b val="0"/>
      </font>
      <alignment horizontal="center" vertical="bottom" textRotation="0" wrapText="0" indent="0" justifyLastLine="0" shrinkToFit="0" readingOrder="0"/>
    </dxf>
    <dxf>
      <font>
        <b val="0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</font>
      <alignment horizontal="center" vertical="bottom" textRotation="0" wrapText="0" indent="0" justifyLastLine="0" shrinkToFit="0" readingOrder="0"/>
    </dxf>
    <dxf>
      <font>
        <b val="0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05286A"/>
          <bgColor rgb="FF00206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05286A"/>
          <bgColor theme="5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2" formatCode="0.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05286A"/>
          <bgColor rgb="FF00206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05286A"/>
          <bgColor theme="5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05286A"/>
          <bgColor rgb="FF00206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05286A"/>
          <bgColor theme="5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05286A"/>
          <bgColor rgb="FF00206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05286A"/>
          <bgColor theme="5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05286A"/>
          <bgColor rgb="FF00206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05286A"/>
          <bgColor theme="5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05286A"/>
          <bgColor rgb="FF00206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05286A"/>
          <bgColor theme="5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05286A"/>
          <bgColor rgb="FF00206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05286A"/>
          <bgColor theme="5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05286A"/>
          <bgColor rgb="FF00206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05286A"/>
          <bgColor theme="5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05286A"/>
          <bgColor rgb="FF00206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05286A"/>
          <bgColor theme="5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05286A"/>
          <bgColor rgb="FF00206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269121420304054708298112" displayName="Table269121420304054708298112" ref="B2:I20" totalsRowShown="0" headerRowDxfId="832" dataDxfId="831">
  <tableColumns count="8">
    <tableColumn id="1" name="Data" dataDxfId="830"/>
    <tableColumn id="2" name="KM Inicial" dataDxfId="829"/>
    <tableColumn id="3" name="KM Final" dataDxfId="828"/>
    <tableColumn id="4" name="KM Rodado" dataDxfId="827"/>
    <tableColumn id="5" name="Consumo Lt" dataDxfId="826"/>
    <tableColumn id="6" name="Média" dataDxfId="825"/>
    <tableColumn id="9" name="ARLA/L" dataDxfId="824"/>
    <tableColumn id="7" name="Valor " dataDxfId="823" dataCellStyle="Moeda"/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id="2" name="Table3710131521314159718399113" displayName="Table3710131521314159718399113" ref="J2:K20" totalsRowShown="0" headerRowDxfId="822">
  <tableColumns count="2">
    <tableColumn id="1" name="Despesas"/>
    <tableColumn id="2" name="Valor " dataDxfId="821"/>
  </tableColumns>
  <tableStyleInfo name="TableStyleLight19" showFirstColumn="0" showLastColumn="0" showRowStripes="1" showColumnStripes="0"/>
</table>
</file>

<file path=xl/tables/table3.xml><?xml version="1.0" encoding="utf-8"?>
<table xmlns="http://schemas.openxmlformats.org/spreadsheetml/2006/main" id="3" name="Table2691214203040547082981124" displayName="Table2691214203040547082981124" ref="M2:T20" totalsRowShown="0" headerRowDxfId="820" dataDxfId="819">
  <tableColumns count="8">
    <tableColumn id="1" name="Data" dataDxfId="818"/>
    <tableColumn id="2" name="KM Inicial" dataDxfId="817"/>
    <tableColumn id="3" name="KM Final" dataDxfId="816"/>
    <tableColumn id="4" name="KM Rodado" dataDxfId="815"/>
    <tableColumn id="5" name="Consumo Lt" dataDxfId="814"/>
    <tableColumn id="6" name="Média" dataDxfId="813"/>
    <tableColumn id="9" name="ARLA/L" dataDxfId="812"/>
    <tableColumn id="7" name="Valor " dataDxfId="811" dataCellStyle="Moeda"/>
  </tableColumns>
  <tableStyleInfo name="TableStyleLight21" showFirstColumn="0" showLastColumn="0" showRowStripes="1" showColumnStripes="0"/>
</table>
</file>

<file path=xl/tables/table4.xml><?xml version="1.0" encoding="utf-8"?>
<table xmlns="http://schemas.openxmlformats.org/spreadsheetml/2006/main" id="4" name="Table37101315213141597183991135" displayName="Table37101315213141597183991135" ref="U2:V20" totalsRowShown="0" headerRowDxfId="810">
  <tableColumns count="2">
    <tableColumn id="1" name="Despesas"/>
    <tableColumn id="2" name="Valor " dataDxfId="809"/>
  </tableColumns>
  <tableStyleInfo name="TableStyleLight19" showFirstColumn="0" showLastColumn="0" showRowStripes="1" showColumnStripes="0"/>
</table>
</file>

<file path=xl/tables/table5.xml><?xml version="1.0" encoding="utf-8"?>
<table xmlns="http://schemas.openxmlformats.org/spreadsheetml/2006/main" id="5" name="Table2691214203040547082981126" displayName="Table2691214203040547082981126" ref="B25:I44" totalsRowCount="1" headerRowDxfId="808" dataDxfId="807">
  <tableColumns count="8">
    <tableColumn id="1" name="Data" dataDxfId="806" totalsRowDxfId="805"/>
    <tableColumn id="2" name="KM Inicial" dataDxfId="804" totalsRowDxfId="803">
      <calculatedColumnFormula>D25</calculatedColumnFormula>
    </tableColumn>
    <tableColumn id="3" name="KM Final" dataDxfId="802" totalsRowDxfId="801"/>
    <tableColumn id="4" name="KM Rodado" dataDxfId="800" totalsRowDxfId="799"/>
    <tableColumn id="5" name="Consumo Lt" dataDxfId="798" totalsRowDxfId="797"/>
    <tableColumn id="6" name="Média" dataDxfId="796" totalsRowDxfId="795"/>
    <tableColumn id="8" name="ARLA/L" dataDxfId="794" totalsRowDxfId="793"/>
    <tableColumn id="7" name="Valor " dataDxfId="792" totalsRowDxfId="791" dataCellStyle="Moeda"/>
  </tableColumns>
  <tableStyleInfo name="TableStyleLight21" showFirstColumn="0" showLastColumn="0" showRowStripes="1" showColumnStripes="0"/>
</table>
</file>

<file path=xl/tables/table6.xml><?xml version="1.0" encoding="utf-8"?>
<table xmlns="http://schemas.openxmlformats.org/spreadsheetml/2006/main" id="6" name="Table37101315213141597183991137" displayName="Table37101315213141597183991137" ref="J25:K43" totalsRowShown="0" headerRowDxfId="790">
  <tableColumns count="2">
    <tableColumn id="1" name="Despesas"/>
    <tableColumn id="2" name="Valor " dataDxfId="789"/>
  </tableColumns>
  <tableStyleInfo name="TableStyleLight19" showFirstColumn="0" showLastColumn="0" showRowStripes="1" showColumnStripes="0"/>
</table>
</file>

<file path=xl/tables/table7.xml><?xml version="1.0" encoding="utf-8"?>
<table xmlns="http://schemas.openxmlformats.org/spreadsheetml/2006/main" id="7" name="Table26912142030405470829811248" displayName="Table26912142030405470829811248" ref="M25:T44" totalsRowCount="1" headerRowDxfId="788" dataDxfId="787">
  <tableColumns count="8">
    <tableColumn id="1" name="Data" dataDxfId="786" totalsRowDxfId="785"/>
    <tableColumn id="2" name="KM Inicial" dataDxfId="784" totalsRowDxfId="783">
      <calculatedColumnFormula>O25</calculatedColumnFormula>
    </tableColumn>
    <tableColumn id="3" name="KM Final" dataDxfId="782" totalsRowDxfId="781"/>
    <tableColumn id="4" name="KM Rodado" dataDxfId="780" totalsRowDxfId="779"/>
    <tableColumn id="5" name="Consumo Lt" dataDxfId="778" totalsRowDxfId="777"/>
    <tableColumn id="6" name="Média" dataDxfId="776" totalsRowDxfId="775"/>
    <tableColumn id="8" name="ARLA/L" dataDxfId="774" totalsRowDxfId="773"/>
    <tableColumn id="7" name="Valor " dataDxfId="772" totalsRowDxfId="771" dataCellStyle="Moeda"/>
  </tableColumns>
  <tableStyleInfo name="TableStyleLight21" showFirstColumn="0" showLastColumn="0" showRowStripes="1" showColumnStripes="0"/>
</table>
</file>

<file path=xl/tables/table8.xml><?xml version="1.0" encoding="utf-8"?>
<table xmlns="http://schemas.openxmlformats.org/spreadsheetml/2006/main" id="8" name="Table371013152131415971839911359" displayName="Table371013152131415971839911359" ref="U25:V43" totalsRowShown="0" headerRowDxfId="770">
  <tableColumns count="2">
    <tableColumn id="1" name="Despesas"/>
    <tableColumn id="2" name="Valor " dataDxfId="769"/>
  </tableColumns>
  <tableStyleInfo name="TableStyleLight19" showFirstColumn="0" showLastColumn="0" showRowStripes="1" showColumnStripes="0"/>
</table>
</file>

<file path=xl/tables/table9.xml><?xml version="1.0" encoding="utf-8"?>
<table xmlns="http://schemas.openxmlformats.org/spreadsheetml/2006/main" id="9" name="Table269121420304054708298112610" displayName="Table269121420304054708298112610" ref="B48:I66" totalsRowShown="0" headerRowDxfId="768" dataDxfId="767">
  <tableColumns count="8">
    <tableColumn id="1" name="Data" dataDxfId="766"/>
    <tableColumn id="2" name="KM Inicial" dataDxfId="765">
      <calculatedColumnFormula>D48</calculatedColumnFormula>
    </tableColumn>
    <tableColumn id="3" name="KM Final" dataDxfId="764"/>
    <tableColumn id="4" name="KM Rodado" dataDxfId="763"/>
    <tableColumn id="5" name="Consumo Lt" dataDxfId="762"/>
    <tableColumn id="6" name="Média" dataDxfId="761"/>
    <tableColumn id="8" name="ARLA/L" dataDxfId="760"/>
    <tableColumn id="7" name="Valor " dataDxfId="759" dataCellStyle="Moeda"/>
  </tableColumns>
  <tableStyleInfo name="TableStyleLight21" showFirstColumn="0" showLastColumn="0" showRowStripes="1" showColumnStripes="0"/>
</table>
</file>

<file path=xl/tables/table10.xml><?xml version="1.0" encoding="utf-8"?>
<table xmlns="http://schemas.openxmlformats.org/spreadsheetml/2006/main" id="10" name="Table3710131521314159718399113711" displayName="Table3710131521314159718399113711" ref="J48:K66" totalsRowShown="0" headerRowDxfId="758">
  <tableColumns count="2">
    <tableColumn id="1" name="Despesas"/>
    <tableColumn id="2" name="Valor " dataDxfId="757"/>
  </tableColumns>
  <tableStyleInfo name="TableStyleLight19" showFirstColumn="0" showLastColumn="0" showRowStripes="1" showColumnStripes="0"/>
</table>
</file>

<file path=xl/tables/table11.xml><?xml version="1.0" encoding="utf-8"?>
<table xmlns="http://schemas.openxmlformats.org/spreadsheetml/2006/main" id="11" name="Table2691214203040547082981124812" displayName="Table2691214203040547082981124812" ref="M48:T66" totalsRowShown="0" headerRowDxfId="756" dataDxfId="755">
  <tableColumns count="8">
    <tableColumn id="1" name="Data" dataDxfId="754"/>
    <tableColumn id="2" name="KM Inicial" dataDxfId="753">
      <calculatedColumnFormula>O48</calculatedColumnFormula>
    </tableColumn>
    <tableColumn id="3" name="KM Final" dataDxfId="752"/>
    <tableColumn id="4" name="KM Rodado" dataDxfId="751"/>
    <tableColumn id="5" name="Consumo Lt" dataDxfId="750"/>
    <tableColumn id="6" name="Média" dataDxfId="749"/>
    <tableColumn id="8" name="ARLA/L" dataDxfId="748"/>
    <tableColumn id="7" name="Valor " dataDxfId="747" dataCellStyle="Moeda"/>
  </tableColumns>
  <tableStyleInfo name="TableStyleLight21" showFirstColumn="0" showLastColumn="0" showRowStripes="1" showColumnStripes="0"/>
</table>
</file>

<file path=xl/tables/table12.xml><?xml version="1.0" encoding="utf-8"?>
<table xmlns="http://schemas.openxmlformats.org/spreadsheetml/2006/main" id="12" name="Table37101315213141597183991135913" displayName="Table37101315213141597183991135913" ref="U48:V66" totalsRowShown="0" headerRowDxfId="746">
  <tableColumns count="2">
    <tableColumn id="1" name="Despesas"/>
    <tableColumn id="2" name="Valor " dataDxfId="745"/>
  </tableColumns>
  <tableStyleInfo name="TableStyleLight19" showFirstColumn="0" showLastColumn="0" showRowStripes="1" showColumnStripes="0"/>
</table>
</file>

<file path=xl/tables/table13.xml><?xml version="1.0" encoding="utf-8"?>
<table xmlns="http://schemas.openxmlformats.org/spreadsheetml/2006/main" id="13" name="Table26912142030405470829811261014" displayName="Table26912142030405470829811261014" ref="B71:I89" totalsRowShown="0" headerRowDxfId="744" dataDxfId="743">
  <tableColumns count="8">
    <tableColumn id="1" name="Data" dataDxfId="742"/>
    <tableColumn id="2" name="KM Inicial" dataDxfId="741"/>
    <tableColumn id="3" name="KM Final" dataDxfId="740"/>
    <tableColumn id="4" name="KM Rodado" dataDxfId="739"/>
    <tableColumn id="5" name="Consumo Lt" dataDxfId="738"/>
    <tableColumn id="6" name="Média" dataDxfId="737"/>
    <tableColumn id="9" name="ARLA/L" dataDxfId="736"/>
    <tableColumn id="7" name="Valor " dataDxfId="735" dataCellStyle="Moeda"/>
  </tableColumns>
  <tableStyleInfo name="TableStyleLight21" showFirstColumn="0" showLastColumn="0" showRowStripes="1" showColumnStripes="0"/>
</table>
</file>

<file path=xl/tables/table14.xml><?xml version="1.0" encoding="utf-8"?>
<table xmlns="http://schemas.openxmlformats.org/spreadsheetml/2006/main" id="14" name="Table371013152131415971839911371115" displayName="Table371013152131415971839911371115" ref="J71:K89" totalsRowShown="0" headerRowDxfId="734">
  <tableColumns count="2">
    <tableColumn id="1" name="Despesas"/>
    <tableColumn id="2" name="Valor " dataDxfId="733"/>
  </tableColumns>
  <tableStyleInfo name="TableStyleLight19" showFirstColumn="0" showLastColumn="0" showRowStripes="1" showColumnStripes="0"/>
</table>
</file>

<file path=xl/tables/table15.xml><?xml version="1.0" encoding="utf-8"?>
<table xmlns="http://schemas.openxmlformats.org/spreadsheetml/2006/main" id="15" name="Table269121420304054708298112481216" displayName="Table269121420304054708298112481216" ref="M71:T89" totalsRowShown="0" headerRowDxfId="732" dataDxfId="731">
  <sortState ref="M72:T89">
    <sortCondition ref="M72"/>
  </sortState>
  <tableColumns count="8">
    <tableColumn id="1" name="Data" dataDxfId="730"/>
    <tableColumn id="2" name="KM Inicial" dataDxfId="729">
      <calculatedColumnFormula>O71</calculatedColumnFormula>
    </tableColumn>
    <tableColumn id="3" name="KM Final" dataDxfId="728"/>
    <tableColumn id="4" name="KM Rodado" dataDxfId="727"/>
    <tableColumn id="5" name="Consumo Lt" dataDxfId="726"/>
    <tableColumn id="6" name="Média" dataDxfId="725"/>
    <tableColumn id="8" name="ARLA/L" dataDxfId="724"/>
    <tableColumn id="7" name="Valor " dataDxfId="723" dataCellStyle="Moeda"/>
  </tableColumns>
  <tableStyleInfo name="TableStyleLight21" showFirstColumn="0" showLastColumn="0" showRowStripes="1" showColumnStripes="0"/>
</table>
</file>

<file path=xl/tables/table16.xml><?xml version="1.0" encoding="utf-8"?>
<table xmlns="http://schemas.openxmlformats.org/spreadsheetml/2006/main" id="16" name="Table3710131521314159718399113591317" displayName="Table3710131521314159718399113591317" ref="U71:V89" totalsRowShown="0" headerRowDxfId="722">
  <tableColumns count="2">
    <tableColumn id="1" name="Despesas"/>
    <tableColumn id="2" name="Valor " dataDxfId="721"/>
  </tableColumns>
  <tableStyleInfo name="TableStyleLight19" showFirstColumn="0" showLastColumn="0" showRowStripes="1" showColumnStripes="0"/>
</table>
</file>

<file path=xl/tables/table17.xml><?xml version="1.0" encoding="utf-8"?>
<table xmlns="http://schemas.openxmlformats.org/spreadsheetml/2006/main" id="17" name="Table2691214203040547082981126101418" displayName="Table2691214203040547082981126101418" ref="B94:I112" totalsRowShown="0" headerRowDxfId="720" dataDxfId="719">
  <tableColumns count="8">
    <tableColumn id="1" name="Data" dataDxfId="718"/>
    <tableColumn id="2" name="KM Inicial" dataDxfId="717">
      <calculatedColumnFormula>D94</calculatedColumnFormula>
    </tableColumn>
    <tableColumn id="3" name="KM Final" dataDxfId="716"/>
    <tableColumn id="4" name="KM Rodado" dataDxfId="715"/>
    <tableColumn id="5" name="Consumo Lt" dataDxfId="714"/>
    <tableColumn id="6" name="Média" dataDxfId="713"/>
    <tableColumn id="8" name="ARLA/L" dataDxfId="712"/>
    <tableColumn id="7" name="Valor " dataDxfId="711" dataCellStyle="Moeda"/>
  </tableColumns>
  <tableStyleInfo name="TableStyleLight21" showFirstColumn="0" showLastColumn="0" showRowStripes="1" showColumnStripes="0"/>
</table>
</file>

<file path=xl/tables/table18.xml><?xml version="1.0" encoding="utf-8"?>
<table xmlns="http://schemas.openxmlformats.org/spreadsheetml/2006/main" id="18" name="Table37101315213141597183991137111519" displayName="Table37101315213141597183991137111519" ref="J94:K112" totalsRowShown="0" headerRowDxfId="710">
  <tableColumns count="2">
    <tableColumn id="1" name="Despesas"/>
    <tableColumn id="2" name="Valor " dataDxfId="709"/>
  </tableColumns>
  <tableStyleInfo name="TableStyleLight19" showFirstColumn="0" showLastColumn="0" showRowStripes="1" showColumnStripes="0"/>
</table>
</file>

<file path=xl/tables/table19.xml><?xml version="1.0" encoding="utf-8"?>
<table xmlns="http://schemas.openxmlformats.org/spreadsheetml/2006/main" id="19" name="Table26912142030405470829811248121620" displayName="Table26912142030405470829811248121620" ref="M94:T112" totalsRowShown="0" headerRowDxfId="708" dataDxfId="707">
  <tableColumns count="8">
    <tableColumn id="1" name="Data" dataDxfId="706"/>
    <tableColumn id="2" name="KM Inicial" dataDxfId="705">
      <calculatedColumnFormula>O94</calculatedColumnFormula>
    </tableColumn>
    <tableColumn id="3" name="KM Final" dataDxfId="704"/>
    <tableColumn id="4" name="KM Rodado" dataDxfId="703"/>
    <tableColumn id="5" name="Consumo Lt" dataDxfId="702"/>
    <tableColumn id="6" name="Média" dataDxfId="701"/>
    <tableColumn id="8" name="ARLA/L" dataDxfId="700"/>
    <tableColumn id="7" name="Valor " dataDxfId="699" dataCellStyle="Moeda"/>
  </tableColumns>
  <tableStyleInfo name="TableStyleLight21" showFirstColumn="0" showLastColumn="0" showRowStripes="1" showColumnStripes="0"/>
</table>
</file>

<file path=xl/tables/table20.xml><?xml version="1.0" encoding="utf-8"?>
<table xmlns="http://schemas.openxmlformats.org/spreadsheetml/2006/main" id="20" name="Table371013152131415971839911359131721" displayName="Table371013152131415971839911359131721" ref="U94:V112" totalsRowShown="0" headerRowDxfId="698">
  <tableColumns count="2">
    <tableColumn id="1" name="Despesas"/>
    <tableColumn id="2" name="Valor " dataDxfId="697"/>
  </tableColumns>
  <tableStyleInfo name="TableStyleLight19" showFirstColumn="0" showLastColumn="0" showRowStripes="1" showColumnStripes="0"/>
</table>
</file>

<file path=xl/tables/table21.xml><?xml version="1.0" encoding="utf-8"?>
<table xmlns="http://schemas.openxmlformats.org/spreadsheetml/2006/main" id="21" name="Table269121420304054708298112610141822" displayName="Table269121420304054708298112610141822" ref="B117:I135" totalsRowShown="0" headerRowDxfId="696" dataDxfId="695">
  <tableColumns count="8">
    <tableColumn id="1" name="Data" dataDxfId="694" totalsRowDxfId="693"/>
    <tableColumn id="2" name="KM Inicial" dataDxfId="692" totalsRowDxfId="691">
      <calculatedColumnFormula>D117</calculatedColumnFormula>
    </tableColumn>
    <tableColumn id="3" name="KM Final" dataDxfId="690" totalsRowDxfId="689"/>
    <tableColumn id="4" name="KM Rodado" dataDxfId="688" totalsRowDxfId="687"/>
    <tableColumn id="5" name="Consumo Lt" dataDxfId="686" totalsRowDxfId="685"/>
    <tableColumn id="6" name="Média" dataDxfId="684" totalsRowDxfId="683"/>
    <tableColumn id="8" name="ARLA/L" dataDxfId="682" totalsRowDxfId="681"/>
    <tableColumn id="7" name="Valor " dataDxfId="680" totalsRowDxfId="679" dataCellStyle="Moeda"/>
  </tableColumns>
  <tableStyleInfo name="TableStyleLight21" showFirstColumn="0" showLastColumn="0" showRowStripes="1" showColumnStripes="0"/>
</table>
</file>

<file path=xl/tables/table22.xml><?xml version="1.0" encoding="utf-8"?>
<table xmlns="http://schemas.openxmlformats.org/spreadsheetml/2006/main" id="22" name="Table3710131521314159718399113711151923" displayName="Table3710131521314159718399113711151923" ref="J117:K135" totalsRowShown="0" headerRowDxfId="678">
  <tableColumns count="2">
    <tableColumn id="1" name="Despesas"/>
    <tableColumn id="2" name="Valor " dataDxfId="677"/>
  </tableColumns>
  <tableStyleInfo name="TableStyleLight19" showFirstColumn="0" showLastColumn="0" showRowStripes="1" showColumnStripes="0"/>
</table>
</file>

<file path=xl/tables/table23.xml><?xml version="1.0" encoding="utf-8"?>
<table xmlns="http://schemas.openxmlformats.org/spreadsheetml/2006/main" id="23" name="Table2691214203040547082981124812162024" displayName="Table2691214203040547082981124812162024" ref="M117:T135" totalsRowShown="0" headerRowDxfId="676" dataDxfId="675">
  <tableColumns count="8">
    <tableColumn id="1" name="Data" dataDxfId="674"/>
    <tableColumn id="2" name="KM Inicial" dataDxfId="673">
      <calculatedColumnFormula>O117</calculatedColumnFormula>
    </tableColumn>
    <tableColumn id="3" name="KM Final" dataDxfId="672"/>
    <tableColumn id="4" name="KM Rodado" dataDxfId="671"/>
    <tableColumn id="5" name="Consumo Lt" dataDxfId="670"/>
    <tableColumn id="6" name="Média" dataDxfId="669"/>
    <tableColumn id="8" name="ARLA/L" dataDxfId="668"/>
    <tableColumn id="7" name="Valor " dataDxfId="667" dataCellStyle="Moeda"/>
  </tableColumns>
  <tableStyleInfo name="TableStyleLight21" showFirstColumn="0" showLastColumn="0" showRowStripes="1" showColumnStripes="0"/>
</table>
</file>

<file path=xl/tables/table24.xml><?xml version="1.0" encoding="utf-8"?>
<table xmlns="http://schemas.openxmlformats.org/spreadsheetml/2006/main" id="24" name="Table37101315213141597183991135913172125" displayName="Table37101315213141597183991135913172125" ref="U117:V135" totalsRowShown="0" headerRowDxfId="666">
  <tableColumns count="2">
    <tableColumn id="1" name="Despesas"/>
    <tableColumn id="2" name="Valor " dataDxfId="665"/>
  </tableColumns>
  <tableStyleInfo name="TableStyleLight19" showFirstColumn="0" showLastColumn="0" showRowStripes="1" showColumnStripes="0"/>
</table>
</file>

<file path=xl/tables/table25.xml><?xml version="1.0" encoding="utf-8"?>
<table xmlns="http://schemas.openxmlformats.org/spreadsheetml/2006/main" id="25" name="Table26912142030405470829811261014182226" displayName="Table26912142030405470829811261014182226" ref="B139:I157" totalsRowShown="0" headerRowDxfId="664" dataDxfId="663">
  <sortState ref="B140:I157">
    <sortCondition ref="B140"/>
  </sortState>
  <tableColumns count="8">
    <tableColumn id="1" name="Data" dataDxfId="662"/>
    <tableColumn id="2" name="KM Inicial" dataDxfId="661">
      <calculatedColumnFormula>D139</calculatedColumnFormula>
    </tableColumn>
    <tableColumn id="3" name="KM Final" dataDxfId="660"/>
    <tableColumn id="4" name="KM Rodado" dataDxfId="659"/>
    <tableColumn id="5" name="Consumo Lt" dataDxfId="658"/>
    <tableColumn id="6" name="Média" dataDxfId="657"/>
    <tableColumn id="8" name="ARLA/L" dataDxfId="656"/>
    <tableColumn id="7" name="Valor " dataDxfId="655" dataCellStyle="Moeda"/>
  </tableColumns>
  <tableStyleInfo name="TableStyleLight21" showFirstColumn="0" showLastColumn="0" showRowStripes="1" showColumnStripes="0"/>
</table>
</file>

<file path=xl/tables/table26.xml><?xml version="1.0" encoding="utf-8"?>
<table xmlns="http://schemas.openxmlformats.org/spreadsheetml/2006/main" id="26" name="Table371013152131415971839911371115192327" displayName="Table371013152131415971839911371115192327" ref="J139:K157" totalsRowShown="0" headerRowDxfId="654">
  <tableColumns count="2">
    <tableColumn id="1" name="Despesas"/>
    <tableColumn id="2" name="Valor " dataDxfId="653"/>
  </tableColumns>
  <tableStyleInfo name="TableStyleLight19" showFirstColumn="0" showLastColumn="0" showRowStripes="1" showColumnStripes="0"/>
</table>
</file>

<file path=xl/tables/table27.xml><?xml version="1.0" encoding="utf-8"?>
<table xmlns="http://schemas.openxmlformats.org/spreadsheetml/2006/main" id="27" name="Table269121420304054708298112481216202428" displayName="Table269121420304054708298112481216202428" ref="M139:T158" totalsRowCount="1" headerRowDxfId="652" dataDxfId="651">
  <tableColumns count="8">
    <tableColumn id="1" name="Data" dataDxfId="650" totalsRowDxfId="649"/>
    <tableColumn id="2" name="KM Inicial" totalsRowFunction="custom" dataDxfId="648" totalsRowDxfId="647">
      <calculatedColumnFormula>O139</calculatedColumnFormula>
      <totalsRowFormula>O157</totalsRowFormula>
    </tableColumn>
    <tableColumn id="3" name="KM Final" dataDxfId="646" totalsRowDxfId="645"/>
    <tableColumn id="4" name="KM Rodado" totalsRowFunction="custom" dataDxfId="644" totalsRowDxfId="643">
      <totalsRowFormula>SUM(P140:P157)</totalsRowFormula>
    </tableColumn>
    <tableColumn id="5" name="Consumo Lt" totalsRowFunction="custom" dataDxfId="642" totalsRowDxfId="641">
      <totalsRowFormula>SUM(Q140:Q157)</totalsRowFormula>
    </tableColumn>
    <tableColumn id="6" name="Média" totalsRowFunction="custom" dataDxfId="640" totalsRowDxfId="639">
      <totalsRowFormula>Table269121420304054708298112481216202428[[#Totals],[KM Rodado]]/Table269121420304054708298112481216202428[[#Totals],[Consumo Lt]]</totalsRowFormula>
    </tableColumn>
    <tableColumn id="8" name="ARLA/L" totalsRowFunction="custom" dataDxfId="638" totalsRowDxfId="637">
      <totalsRowFormula>SUM(S140:S157)</totalsRowFormula>
    </tableColumn>
    <tableColumn id="7" name="Valor " totalsRowFunction="custom" dataDxfId="636" totalsRowDxfId="635" dataCellStyle="Moeda">
      <totalsRowFormula>SUM(T140:T157)</totalsRowFormula>
    </tableColumn>
  </tableColumns>
  <tableStyleInfo name="TableStyleLight21" showFirstColumn="0" showLastColumn="0" showRowStripes="1" showColumnStripes="0"/>
</table>
</file>

<file path=xl/tables/table28.xml><?xml version="1.0" encoding="utf-8"?>
<table xmlns="http://schemas.openxmlformats.org/spreadsheetml/2006/main" id="28" name="Table3710131521314159718399113591317212529" displayName="Table3710131521314159718399113591317212529" ref="U139:V157" totalsRowShown="0" headerRowDxfId="634">
  <tableColumns count="2">
    <tableColumn id="1" name="Despesas"/>
    <tableColumn id="2" name="Valor " dataDxfId="633"/>
  </tableColumns>
  <tableStyleInfo name="TableStyleLight19" showFirstColumn="0" showLastColumn="0" showRowStripes="1" showColumnStripes="0"/>
</table>
</file>

<file path=xl/tables/table29.xml><?xml version="1.0" encoding="utf-8"?>
<table xmlns="http://schemas.openxmlformats.org/spreadsheetml/2006/main" id="29" name="Table2691214203040547082981126101418222630" displayName="Table2691214203040547082981126101418222630" ref="B166:I184" totalsRowShown="0" headerRowDxfId="632" dataDxfId="631">
  <sortState ref="B162:I179">
    <sortCondition ref="B162"/>
  </sortState>
  <tableColumns count="8">
    <tableColumn id="1" name="Data" dataDxfId="630"/>
    <tableColumn id="2" name="KM Inicial" dataDxfId="629">
      <calculatedColumnFormula>D166</calculatedColumnFormula>
    </tableColumn>
    <tableColumn id="3" name="KM Final" dataDxfId="628"/>
    <tableColumn id="4" name="KM Rodado" dataDxfId="627"/>
    <tableColumn id="5" name="Consumo Lt" dataDxfId="626"/>
    <tableColumn id="6" name="Média" dataDxfId="625"/>
    <tableColumn id="8" name="ARLA/L" dataDxfId="624"/>
    <tableColumn id="7" name="Valor " dataDxfId="623" dataCellStyle="Moeda"/>
  </tableColumns>
  <tableStyleInfo name="TableStyleLight21" showFirstColumn="0" showLastColumn="0" showRowStripes="1" showColumnStripes="0"/>
</table>
</file>

<file path=xl/tables/table30.xml><?xml version="1.0" encoding="utf-8"?>
<table xmlns="http://schemas.openxmlformats.org/spreadsheetml/2006/main" id="30" name="Table37101315213141597183991137111519232731" displayName="Table37101315213141597183991137111519232731" ref="J166:K184" totalsRowShown="0" headerRowDxfId="622">
  <tableColumns count="2">
    <tableColumn id="1" name="Despesas"/>
    <tableColumn id="2" name="Valor " dataDxfId="621"/>
  </tableColumns>
  <tableStyleInfo name="TableStyleLight19" showFirstColumn="0" showLastColumn="0" showRowStripes="1" showColumnStripes="0"/>
</table>
</file>

<file path=xl/tables/table31.xml><?xml version="1.0" encoding="utf-8"?>
<table xmlns="http://schemas.openxmlformats.org/spreadsheetml/2006/main" id="31" name="Table26912142030405470829811248121620242832" displayName="Table26912142030405470829811248121620242832" ref="M166:T184" totalsRowShown="0" headerRowDxfId="620" dataDxfId="619">
  <tableColumns count="8">
    <tableColumn id="1" name="Data" dataDxfId="618"/>
    <tableColumn id="2" name="KM Inicial" dataDxfId="617">
      <calculatedColumnFormula>O166</calculatedColumnFormula>
    </tableColumn>
    <tableColumn id="3" name="KM Final" dataDxfId="616"/>
    <tableColumn id="4" name="KM Rodado" dataDxfId="615"/>
    <tableColumn id="5" name="Consumo Lt" dataDxfId="614"/>
    <tableColumn id="6" name="Média" dataDxfId="613"/>
    <tableColumn id="8" name="ARLA/L" dataDxfId="612"/>
    <tableColumn id="7" name="Valor " dataDxfId="611" dataCellStyle="Moeda"/>
  </tableColumns>
  <tableStyleInfo name="TableStyleLight21" showFirstColumn="0" showLastColumn="0" showRowStripes="1" showColumnStripes="0"/>
</table>
</file>

<file path=xl/tables/table32.xml><?xml version="1.0" encoding="utf-8"?>
<table xmlns="http://schemas.openxmlformats.org/spreadsheetml/2006/main" id="32" name="Table371013152131415971839911359131721252933" displayName="Table371013152131415971839911359131721252933" ref="U166:V184" totalsRowShown="0" headerRowDxfId="610">
  <tableColumns count="2">
    <tableColumn id="1" name="Despesas"/>
    <tableColumn id="2" name="Valor " dataDxfId="609"/>
  </tableColumns>
  <tableStyleInfo name="TableStyleLight19" showFirstColumn="0" showLastColumn="0" showRowStripes="1" showColumnStripes="0"/>
</table>
</file>

<file path=xl/tables/table33.xml><?xml version="1.0" encoding="utf-8"?>
<table xmlns="http://schemas.openxmlformats.org/spreadsheetml/2006/main" id="33" name="Table269121420304054708298112434" displayName="Table269121420304054708298112434" ref="Y2:AF20" totalsRowShown="0" headerRowDxfId="608" dataDxfId="607">
  <tableColumns count="8">
    <tableColumn id="1" name="Data" dataDxfId="606"/>
    <tableColumn id="2" name="KM Inicial" dataDxfId="605"/>
    <tableColumn id="3" name="KM Final" dataDxfId="604"/>
    <tableColumn id="4" name="KM Rodado" dataDxfId="603"/>
    <tableColumn id="5" name="Consumo Lt" dataDxfId="602"/>
    <tableColumn id="6" name="Média" dataDxfId="601"/>
    <tableColumn id="9" name="ARLA/L" dataDxfId="600"/>
    <tableColumn id="7" name="Valor " dataDxfId="599" dataCellStyle="Moeda"/>
  </tableColumns>
  <tableStyleInfo name="TableStyleLight21" showFirstColumn="0" showLastColumn="0" showRowStripes="1" showColumnStripes="0"/>
</table>
</file>

<file path=xl/tables/table34.xml><?xml version="1.0" encoding="utf-8"?>
<table xmlns="http://schemas.openxmlformats.org/spreadsheetml/2006/main" id="34" name="Table3710131521314159718399113535" displayName="Table3710131521314159718399113535" ref="AG2:AH20" totalsRowShown="0" headerRowDxfId="598">
  <tableColumns count="2">
    <tableColumn id="1" name="Despesas"/>
    <tableColumn id="2" name="Valor " dataDxfId="597"/>
  </tableColumns>
  <tableStyleInfo name="TableStyleLight19" showFirstColumn="0" showLastColumn="0" showRowStripes="1" showColumnStripes="0"/>
</table>
</file>

<file path=xl/tables/table35.xml><?xml version="1.0" encoding="utf-8"?>
<table xmlns="http://schemas.openxmlformats.org/spreadsheetml/2006/main" id="36" name="Table37101315213141597183991135937" displayName="Table37101315213141597183991135937" ref="AG25:AH43" totalsRowShown="0" headerRowDxfId="596">
  <tableColumns count="2">
    <tableColumn id="1" name="Despesas"/>
    <tableColumn id="2" name="Valor " dataDxfId="595"/>
  </tableColumns>
  <tableStyleInfo name="TableStyleLight19" showFirstColumn="0" showLastColumn="0" showRowStripes="1" showColumnStripes="0"/>
</table>
</file>

<file path=xl/tables/table36.xml><?xml version="1.0" encoding="utf-8"?>
<table xmlns="http://schemas.openxmlformats.org/spreadsheetml/2006/main" id="37" name="Table269121420304054708298112481238" displayName="Table269121420304054708298112481238" ref="Y48:AF66" totalsRowShown="0" headerRowDxfId="594" dataDxfId="593">
  <tableColumns count="8">
    <tableColumn id="1" name="Data" dataDxfId="592"/>
    <tableColumn id="2" name="KM Inicial" dataDxfId="591">
      <calculatedColumnFormula>AA48</calculatedColumnFormula>
    </tableColumn>
    <tableColumn id="3" name="KM Final" dataDxfId="590"/>
    <tableColumn id="4" name="KM Rodado" dataDxfId="589">
      <calculatedColumnFormula>Table269121420304054708298112481238[[#This Row],[KM Final]]-Table269121420304054708298112481238[[#This Row],[KM Inicial]]</calculatedColumnFormula>
    </tableColumn>
    <tableColumn id="5" name="Consumo Lt" dataDxfId="588"/>
    <tableColumn id="6" name="Média" dataDxfId="587"/>
    <tableColumn id="8" name="ARLA/L" dataDxfId="586"/>
    <tableColumn id="7" name="Valor " dataDxfId="585" dataCellStyle="Moeda"/>
  </tableColumns>
  <tableStyleInfo name="TableStyleLight21" showFirstColumn="0" showLastColumn="0" showRowStripes="1" showColumnStripes="0"/>
</table>
</file>

<file path=xl/tables/table37.xml><?xml version="1.0" encoding="utf-8"?>
<table xmlns="http://schemas.openxmlformats.org/spreadsheetml/2006/main" id="38" name="Table3710131521314159718399113591339" displayName="Table3710131521314159718399113591339" ref="AG48:AH66" totalsRowShown="0" headerRowDxfId="584">
  <tableColumns count="2">
    <tableColumn id="1" name="Despesas"/>
    <tableColumn id="2" name="Valor " dataDxfId="583"/>
  </tableColumns>
  <tableStyleInfo name="TableStyleLight19" showFirstColumn="0" showLastColumn="0" showRowStripes="1" showColumnStripes="0"/>
</table>
</file>

<file path=xl/tables/table38.xml><?xml version="1.0" encoding="utf-8"?>
<table xmlns="http://schemas.openxmlformats.org/spreadsheetml/2006/main" id="39" name="Table26912142030405470829811248121640" displayName="Table26912142030405470829811248121640" ref="Y71:AF89" totalsRowShown="0" headerRowDxfId="582" dataDxfId="581">
  <sortState ref="Y72:AF89">
    <sortCondition ref="Y72"/>
  </sortState>
  <tableColumns count="8">
    <tableColumn id="1" name="Data" dataDxfId="580"/>
    <tableColumn id="2" name="KM Inicial" dataDxfId="579">
      <calculatedColumnFormula>AA71</calculatedColumnFormula>
    </tableColumn>
    <tableColumn id="3" name="KM Final" dataDxfId="578"/>
    <tableColumn id="4" name="KM Rodado" dataDxfId="577"/>
    <tableColumn id="5" name="Consumo Lt" dataDxfId="576"/>
    <tableColumn id="6" name="Média" dataDxfId="575"/>
    <tableColumn id="8" name="ARLA/L" dataDxfId="574"/>
    <tableColumn id="7" name="Valor " dataDxfId="573" dataCellStyle="Moeda"/>
  </tableColumns>
  <tableStyleInfo name="TableStyleLight21" showFirstColumn="0" showLastColumn="0" showRowStripes="1" showColumnStripes="0"/>
</table>
</file>

<file path=xl/tables/table39.xml><?xml version="1.0" encoding="utf-8"?>
<table xmlns="http://schemas.openxmlformats.org/spreadsheetml/2006/main" id="40" name="Table371013152131415971839911359131741" displayName="Table371013152131415971839911359131741" ref="AG71:AH89" totalsRowShown="0" headerRowDxfId="572">
  <tableColumns count="2">
    <tableColumn id="1" name="Despesas"/>
    <tableColumn id="2" name="Valor " dataDxfId="571"/>
  </tableColumns>
  <tableStyleInfo name="TableStyleLight19" showFirstColumn="0" showLastColumn="0" showRowStripes="1" showColumnStripes="0"/>
</table>
</file>

<file path=xl/tables/table40.xml><?xml version="1.0" encoding="utf-8"?>
<table xmlns="http://schemas.openxmlformats.org/spreadsheetml/2006/main" id="41" name="Table2691214203040547082981124812162042" displayName="Table2691214203040547082981124812162042" ref="Y94:AF112" totalsRowShown="0" headerRowDxfId="570" dataDxfId="569">
  <tableColumns count="8">
    <tableColumn id="1" name="Data" dataDxfId="568"/>
    <tableColumn id="2" name="KM Inicial" dataDxfId="567">
      <calculatedColumnFormula>AA94</calculatedColumnFormula>
    </tableColumn>
    <tableColumn id="3" name="KM Final" dataDxfId="566"/>
    <tableColumn id="4" name="KM Rodado" dataDxfId="565"/>
    <tableColumn id="5" name="Consumo Lt" dataDxfId="564"/>
    <tableColumn id="6" name="Média" dataDxfId="563"/>
    <tableColumn id="8" name="ARLA/L" dataDxfId="562"/>
    <tableColumn id="7" name="Valor " dataDxfId="561" dataCellStyle="Moeda"/>
  </tableColumns>
  <tableStyleInfo name="TableStyleLight21" showFirstColumn="0" showLastColumn="0" showRowStripes="1" showColumnStripes="0"/>
</table>
</file>

<file path=xl/tables/table41.xml><?xml version="1.0" encoding="utf-8"?>
<table xmlns="http://schemas.openxmlformats.org/spreadsheetml/2006/main" id="42" name="Table37101315213141597183991135913172143" displayName="Table37101315213141597183991135913172143" ref="AG94:AH112" totalsRowShown="0" headerRowDxfId="560">
  <tableColumns count="2">
    <tableColumn id="1" name="Despesas"/>
    <tableColumn id="2" name="Valor " dataDxfId="559"/>
  </tableColumns>
  <tableStyleInfo name="TableStyleLight19" showFirstColumn="0" showLastColumn="0" showRowStripes="1" showColumnStripes="0"/>
</table>
</file>

<file path=xl/tables/table42.xml><?xml version="1.0" encoding="utf-8"?>
<table xmlns="http://schemas.openxmlformats.org/spreadsheetml/2006/main" id="43" name="Table269121420304054708298112481216202444" displayName="Table269121420304054708298112481216202444" ref="Y117:AF135" totalsRowShown="0" headerRowDxfId="558" dataDxfId="557">
  <tableColumns count="8">
    <tableColumn id="1" name="Data" dataDxfId="556"/>
    <tableColumn id="2" name="KM Inicial" dataDxfId="555">
      <calculatedColumnFormula>AA117</calculatedColumnFormula>
    </tableColumn>
    <tableColumn id="3" name="KM Final" dataDxfId="554"/>
    <tableColumn id="4" name="KM Rodado" dataDxfId="553"/>
    <tableColumn id="5" name="Consumo Lt" dataDxfId="552"/>
    <tableColumn id="6" name="Média" dataDxfId="551"/>
    <tableColumn id="8" name="ARLA/L" dataDxfId="550"/>
    <tableColumn id="7" name="Valor " dataDxfId="549" dataCellStyle="Moeda"/>
  </tableColumns>
  <tableStyleInfo name="TableStyleLight21" showFirstColumn="0" showLastColumn="0" showRowStripes="1" showColumnStripes="0"/>
</table>
</file>

<file path=xl/tables/table43.xml><?xml version="1.0" encoding="utf-8"?>
<table xmlns="http://schemas.openxmlformats.org/spreadsheetml/2006/main" id="44" name="Table3710131521314159718399113591317212545" displayName="Table3710131521314159718399113591317212545" ref="AG117:AH135" totalsRowShown="0" headerRowDxfId="548">
  <tableColumns count="2">
    <tableColumn id="1" name="Despesas"/>
    <tableColumn id="2" name="Valor " dataDxfId="547"/>
  </tableColumns>
  <tableStyleInfo name="TableStyleLight19" showFirstColumn="0" showLastColumn="0" showRowStripes="1" showColumnStripes="0"/>
</table>
</file>

<file path=xl/tables/table44.xml><?xml version="1.0" encoding="utf-8"?>
<table xmlns="http://schemas.openxmlformats.org/spreadsheetml/2006/main" id="47" name="Table2691214203040547082981124812162024283248" displayName="Table2691214203040547082981124812162024283248" ref="Y166:AF184" totalsRowShown="0" headerRowDxfId="546" dataDxfId="545">
  <tableColumns count="8">
    <tableColumn id="1" name="Data" dataDxfId="544"/>
    <tableColumn id="2" name="KM Inicial" dataDxfId="543">
      <calculatedColumnFormula>AA166</calculatedColumnFormula>
    </tableColumn>
    <tableColumn id="3" name="KM Final" dataDxfId="542"/>
    <tableColumn id="4" name="KM Rodado" dataDxfId="541"/>
    <tableColumn id="5" name="Consumo Lt" dataDxfId="540"/>
    <tableColumn id="6" name="Média" dataDxfId="539"/>
    <tableColumn id="8" name="ARLA/L" dataDxfId="538"/>
    <tableColumn id="7" name="Valor " dataDxfId="537" dataCellStyle="Moeda"/>
  </tableColumns>
  <tableStyleInfo name="TableStyleLight21" showFirstColumn="0" showLastColumn="0" showRowStripes="1" showColumnStripes="0"/>
</table>
</file>

<file path=xl/tables/table45.xml><?xml version="1.0" encoding="utf-8"?>
<table xmlns="http://schemas.openxmlformats.org/spreadsheetml/2006/main" id="48" name="Table37101315213141597183991135913172125293349" displayName="Table37101315213141597183991135913172125293349" ref="AG166:AH184" totalsRowShown="0" headerRowDxfId="536">
  <tableColumns count="2">
    <tableColumn id="1" name="Despesas"/>
    <tableColumn id="2" name="Valor " dataDxfId="535"/>
  </tableColumns>
  <tableStyleInfo name="TableStyleLight19" showFirstColumn="0" showLastColumn="0" showRowStripes="1" showColumnStripes="0"/>
</table>
</file>

<file path=xl/tables/table46.xml><?xml version="1.0" encoding="utf-8"?>
<table xmlns="http://schemas.openxmlformats.org/spreadsheetml/2006/main" id="65" name="Table26912142030405470829811243466" displayName="Table26912142030405470829811243466" ref="AJ2:AQ20" totalsRowShown="0" headerRowDxfId="534" dataDxfId="533">
  <tableColumns count="8">
    <tableColumn id="1" name="Data" dataDxfId="532"/>
    <tableColumn id="2" name="KM Inicial" dataDxfId="531">
      <calculatedColumnFormula>AL2</calculatedColumnFormula>
    </tableColumn>
    <tableColumn id="3" name="KM Final" dataDxfId="530"/>
    <tableColumn id="4" name="KM Rodado" dataDxfId="529">
      <calculatedColumnFormula>Table26912142030405470829811243466[[#This Row],[KM Final]]-Table26912142030405470829811243466[[#This Row],[KM Inicial]]</calculatedColumnFormula>
    </tableColumn>
    <tableColumn id="5" name="Consumo Lt" dataDxfId="528"/>
    <tableColumn id="6" name="Média" dataDxfId="527">
      <calculatedColumnFormula>Table26912142030405470829811243466[[#This Row],[KM Rodado]]/Table26912142030405470829811243466[[#This Row],[Consumo Lt]]</calculatedColumnFormula>
    </tableColumn>
    <tableColumn id="9" name="ARLA/L" dataDxfId="526"/>
    <tableColumn id="7" name="Valor " dataDxfId="525" dataCellStyle="Moeda"/>
  </tableColumns>
  <tableStyleInfo name="TableStyleLight21" showFirstColumn="0" showLastColumn="0" showRowStripes="1" showColumnStripes="0"/>
</table>
</file>

<file path=xl/tables/table47.xml><?xml version="1.0" encoding="utf-8"?>
<table xmlns="http://schemas.openxmlformats.org/spreadsheetml/2006/main" id="66" name="Table371013152131415971839911353567" displayName="Table371013152131415971839911353567" ref="AR2:AS20" totalsRowShown="0" headerRowDxfId="524">
  <tableColumns count="2">
    <tableColumn id="1" name="Despesas"/>
    <tableColumn id="2" name="Valor " dataDxfId="523"/>
  </tableColumns>
  <tableStyleInfo name="TableStyleLight19" showFirstColumn="0" showLastColumn="0" showRowStripes="1" showColumnStripes="0"/>
</table>
</file>

<file path=xl/tables/table48.xml><?xml version="1.0" encoding="utf-8"?>
<table xmlns="http://schemas.openxmlformats.org/spreadsheetml/2006/main" id="67" name="Table269121420304054708298112483668" displayName="Table269121420304054708298112483668" ref="AJ25:AQ44" totalsRowCount="1" headerRowDxfId="522" dataDxfId="521">
  <sortState ref="AJ26:AQ43">
    <sortCondition ref="AJ26"/>
  </sortState>
  <tableColumns count="8">
    <tableColumn id="1" name="Data" dataDxfId="520" totalsRowDxfId="519"/>
    <tableColumn id="2" name="KM Inicial" dataDxfId="518" totalsRowDxfId="517">
      <calculatedColumnFormula>AL25</calculatedColumnFormula>
    </tableColumn>
    <tableColumn id="3" name="KM Final" dataDxfId="516" totalsRowDxfId="515"/>
    <tableColumn id="4" name="KM Rodado" dataDxfId="514" totalsRowDxfId="513">
      <calculatedColumnFormula>Table269121420304054708298112483668[[#This Row],[KM Final]]-Table269121420304054708298112483668[[#This Row],[KM Inicial]]</calculatedColumnFormula>
    </tableColumn>
    <tableColumn id="5" name="Consumo Lt" dataDxfId="512" totalsRowDxfId="511"/>
    <tableColumn id="6" name="Média" dataDxfId="510" totalsRowDxfId="509">
      <calculatedColumnFormula>Table269121420304054708298112483668[[#This Row],[KM Rodado]]/Table269121420304054708298112483668[[#This Row],[Consumo Lt]]</calculatedColumnFormula>
    </tableColumn>
    <tableColumn id="8" name="ARLA/L" dataDxfId="508" totalsRowDxfId="507"/>
    <tableColumn id="7" name="Valor " dataDxfId="506" totalsRowDxfId="505" dataCellStyle="Moeda"/>
  </tableColumns>
  <tableStyleInfo name="TableStyleLight21" showFirstColumn="0" showLastColumn="0" showRowStripes="1" showColumnStripes="0"/>
</table>
</file>

<file path=xl/tables/table49.xml><?xml version="1.0" encoding="utf-8"?>
<table xmlns="http://schemas.openxmlformats.org/spreadsheetml/2006/main" id="68" name="Table3710131521314159718399113593769" displayName="Table3710131521314159718399113593769" ref="AR25:AS43" totalsRowShown="0" headerRowDxfId="504">
  <tableColumns count="2">
    <tableColumn id="1" name="Despesas"/>
    <tableColumn id="2" name="Valor " dataDxfId="503"/>
  </tableColumns>
  <tableStyleInfo name="TableStyleLight19" showFirstColumn="0" showLastColumn="0" showRowStripes="1" showColumnStripes="0"/>
</table>
</file>

<file path=xl/tables/table50.xml><?xml version="1.0" encoding="utf-8"?>
<table xmlns="http://schemas.openxmlformats.org/spreadsheetml/2006/main" id="69" name="Table26912142030405470829811248123870" displayName="Table26912142030405470829811248123870" ref="AJ48:AQ66" totalsRowShown="0" headerRowDxfId="502" dataDxfId="501">
  <tableColumns count="8">
    <tableColumn id="1" name="Data" dataDxfId="500"/>
    <tableColumn id="2" name="KM Inicial" dataDxfId="499">
      <calculatedColumnFormula>AL48</calculatedColumnFormula>
    </tableColumn>
    <tableColumn id="3" name="KM Final" dataDxfId="498"/>
    <tableColumn id="4" name="KM Rodado" dataDxfId="497">
      <calculatedColumnFormula>Table26912142030405470829811248123870[[#This Row],[KM Final]]-Table26912142030405470829811248123870[[#This Row],[KM Inicial]]</calculatedColumnFormula>
    </tableColumn>
    <tableColumn id="5" name="Consumo Lt" dataDxfId="496"/>
    <tableColumn id="6" name="Média" dataDxfId="495"/>
    <tableColumn id="8" name="ARLA/L" dataDxfId="494"/>
    <tableColumn id="7" name="Valor " dataDxfId="493" dataCellStyle="Moeda"/>
  </tableColumns>
  <tableStyleInfo name="TableStyleLight21" showFirstColumn="0" showLastColumn="0" showRowStripes="1" showColumnStripes="0"/>
</table>
</file>

<file path=xl/tables/table51.xml><?xml version="1.0" encoding="utf-8"?>
<table xmlns="http://schemas.openxmlformats.org/spreadsheetml/2006/main" id="70" name="Table371013152131415971839911359133971" displayName="Table371013152131415971839911359133971" ref="AR48:AS66" totalsRowShown="0" headerRowDxfId="492">
  <tableColumns count="2">
    <tableColumn id="1" name="Despesas"/>
    <tableColumn id="2" name="Valor " dataDxfId="491"/>
  </tableColumns>
  <tableStyleInfo name="TableStyleLight19" showFirstColumn="0" showLastColumn="0" showRowStripes="1" showColumnStripes="0"/>
</table>
</file>

<file path=xl/tables/table52.xml><?xml version="1.0" encoding="utf-8"?>
<table xmlns="http://schemas.openxmlformats.org/spreadsheetml/2006/main" id="71" name="Table2691214203040547082981124812164072" displayName="Table2691214203040547082981124812164072" ref="AJ71:AQ89" totalsRowShown="0" headerRowDxfId="490" dataDxfId="489">
  <sortState ref="AJ72:AQ89">
    <sortCondition ref="AJ72"/>
  </sortState>
  <tableColumns count="8">
    <tableColumn id="1" name="Data" dataDxfId="488"/>
    <tableColumn id="2" name="KM Inicial" dataDxfId="487">
      <calculatedColumnFormula>AL71</calculatedColumnFormula>
    </tableColumn>
    <tableColumn id="3" name="KM Final" dataDxfId="486"/>
    <tableColumn id="4" name="KM Rodado" dataDxfId="485"/>
    <tableColumn id="5" name="Consumo Lt" dataDxfId="484"/>
    <tableColumn id="6" name="Média" dataDxfId="483"/>
    <tableColumn id="8" name="ARLA/L" dataDxfId="482"/>
    <tableColumn id="7" name="Valor " dataDxfId="481" dataCellStyle="Moeda"/>
  </tableColumns>
  <tableStyleInfo name="TableStyleLight21" showFirstColumn="0" showLastColumn="0" showRowStripes="1" showColumnStripes="0"/>
</table>
</file>

<file path=xl/tables/table53.xml><?xml version="1.0" encoding="utf-8"?>
<table xmlns="http://schemas.openxmlformats.org/spreadsheetml/2006/main" id="72" name="Table37101315213141597183991135913174173" displayName="Table37101315213141597183991135913174173" ref="AR71:AS89" totalsRowShown="0" headerRowDxfId="480">
  <tableColumns count="2">
    <tableColumn id="1" name="Despesas"/>
    <tableColumn id="2" name="Valor " dataDxfId="479"/>
  </tableColumns>
  <tableStyleInfo name="TableStyleLight19" showFirstColumn="0" showLastColumn="0" showRowStripes="1" showColumnStripes="0"/>
</table>
</file>

<file path=xl/tables/table54.xml><?xml version="1.0" encoding="utf-8"?>
<table xmlns="http://schemas.openxmlformats.org/spreadsheetml/2006/main" id="73" name="Table269121420304054708298112481216204274" displayName="Table269121420304054708298112481216204274" ref="AJ94:AQ112" totalsRowShown="0" headerRowDxfId="478" dataDxfId="477">
  <tableColumns count="8">
    <tableColumn id="1" name="Data" dataDxfId="476"/>
    <tableColumn id="2" name="KM Inicial" dataDxfId="475">
      <calculatedColumnFormula>AL94</calculatedColumnFormula>
    </tableColumn>
    <tableColumn id="3" name="KM Final" dataDxfId="474"/>
    <tableColumn id="4" name="KM Rodado" dataDxfId="473">
      <calculatedColumnFormula>Table269121420304054708298112481216204274[[#This Row],[KM Final]]-Table269121420304054708298112481216204274[[#This Row],[KM Inicial]]</calculatedColumnFormula>
    </tableColumn>
    <tableColumn id="5" name="Consumo Lt" dataDxfId="472"/>
    <tableColumn id="6" name="Média" dataDxfId="471">
      <calculatedColumnFormula>Table269121420304054708298112481216204274[[#This Row],[KM Rodado]]/Table269121420304054708298112481216204274[[#This Row],[Consumo Lt]]</calculatedColumnFormula>
    </tableColumn>
    <tableColumn id="8" name="ARLA/L" dataDxfId="470"/>
    <tableColumn id="7" name="Valor " dataDxfId="469" dataCellStyle="Moeda"/>
  </tableColumns>
  <tableStyleInfo name="TableStyleLight21" showFirstColumn="0" showLastColumn="0" showRowStripes="1" showColumnStripes="0"/>
</table>
</file>

<file path=xl/tables/table55.xml><?xml version="1.0" encoding="utf-8"?>
<table xmlns="http://schemas.openxmlformats.org/spreadsheetml/2006/main" id="74" name="Table3710131521314159718399113591317214375" displayName="Table3710131521314159718399113591317214375" ref="AR94:AS112" totalsRowShown="0" headerRowDxfId="468">
  <tableColumns count="2">
    <tableColumn id="1" name="Despesas"/>
    <tableColumn id="2" name="Valor " dataDxfId="467"/>
  </tableColumns>
  <tableStyleInfo name="TableStyleLight19" showFirstColumn="0" showLastColumn="0" showRowStripes="1" showColumnStripes="0"/>
</table>
</file>

<file path=xl/tables/table56.xml><?xml version="1.0" encoding="utf-8"?>
<table xmlns="http://schemas.openxmlformats.org/spreadsheetml/2006/main" id="75" name="Table26912142030405470829811248121620244476" displayName="Table26912142030405470829811248121620244476" ref="AJ117:AQ135" totalsRowShown="0" headerRowDxfId="466" dataDxfId="465">
  <tableColumns count="8">
    <tableColumn id="1" name="Data" dataDxfId="464"/>
    <tableColumn id="2" name="KM Inicial" dataDxfId="463">
      <calculatedColumnFormula>AL117</calculatedColumnFormula>
    </tableColumn>
    <tableColumn id="3" name="KM Final" dataDxfId="462"/>
    <tableColumn id="4" name="KM Rodado" dataDxfId="461">
      <calculatedColumnFormula>Table26912142030405470829811248121620244476[[#This Row],[KM Final]]-Table26912142030405470829811248121620244476[[#This Row],[KM Inicial]]</calculatedColumnFormula>
    </tableColumn>
    <tableColumn id="5" name="Consumo Lt" dataDxfId="460"/>
    <tableColumn id="6" name="Média" dataDxfId="459">
      <calculatedColumnFormula>Table26912142030405470829811248121620244476[[#This Row],[KM Rodado]]/Table26912142030405470829811248121620244476[[#This Row],[Consumo Lt]]</calculatedColumnFormula>
    </tableColumn>
    <tableColumn id="8" name="ARLA/L" dataDxfId="458"/>
    <tableColumn id="7" name="Valor " dataDxfId="457" dataCellStyle="Moeda"/>
  </tableColumns>
  <tableStyleInfo name="TableStyleLight21" showFirstColumn="0" showLastColumn="0" showRowStripes="1" showColumnStripes="0"/>
</table>
</file>

<file path=xl/tables/table57.xml><?xml version="1.0" encoding="utf-8"?>
<table xmlns="http://schemas.openxmlformats.org/spreadsheetml/2006/main" id="76" name="Table371013152131415971839911359131721254577" displayName="Table371013152131415971839911359131721254577" ref="AR117:AS135" totalsRowShown="0" headerRowDxfId="456">
  <tableColumns count="2">
    <tableColumn id="1" name="Despesas"/>
    <tableColumn id="2" name="Valor " dataDxfId="455"/>
  </tableColumns>
  <tableStyleInfo name="TableStyleLight19" showFirstColumn="0" showLastColumn="0" showRowStripes="1" showColumnStripes="0"/>
</table>
</file>

<file path=xl/tables/table58.xml><?xml version="1.0" encoding="utf-8"?>
<table xmlns="http://schemas.openxmlformats.org/spreadsheetml/2006/main" id="77" name="Table2691214203040547082981124812162024284678" displayName="Table2691214203040547082981124812162024284678" ref="AJ139:AQ158" totalsRowCount="1" headerRowDxfId="454" dataDxfId="453">
  <tableColumns count="8">
    <tableColumn id="1" name="Data" dataDxfId="452" totalsRowDxfId="451"/>
    <tableColumn id="2" name="KM Inicial" dataDxfId="450" totalsRowDxfId="449">
      <calculatedColumnFormula>AL139</calculatedColumnFormula>
    </tableColumn>
    <tableColumn id="3" name="KM Final" dataDxfId="448" totalsRowDxfId="447"/>
    <tableColumn id="4" name="KM Rodado" dataDxfId="446" totalsRowDxfId="445">
      <calculatedColumnFormula>Table2691214203040547082981124812162024284678[[#This Row],[KM Final]]-Table2691214203040547082981124812162024284678[[#This Row],[KM Inicial]]</calculatedColumnFormula>
    </tableColumn>
    <tableColumn id="5" name="Consumo Lt" dataDxfId="444" totalsRowDxfId="443"/>
    <tableColumn id="6" name="Média" dataDxfId="442" totalsRowDxfId="441">
      <calculatedColumnFormula>Table2691214203040547082981124812162024284678[[#This Row],[KM Rodado]]/Table2691214203040547082981124812162024284678[[#This Row],[Consumo Lt]]</calculatedColumnFormula>
    </tableColumn>
    <tableColumn id="8" name="ARLA/L" dataDxfId="440" totalsRowDxfId="439"/>
    <tableColumn id="7" name="Valor " dataDxfId="438" totalsRowDxfId="437" dataCellStyle="Moeda"/>
  </tableColumns>
  <tableStyleInfo name="TableStyleLight21" showFirstColumn="0" showLastColumn="0" showRowStripes="1" showColumnStripes="0"/>
</table>
</file>

<file path=xl/tables/table59.xml><?xml version="1.0" encoding="utf-8"?>
<table xmlns="http://schemas.openxmlformats.org/spreadsheetml/2006/main" id="78" name="Table37101315213141597183991135913172125294779" displayName="Table37101315213141597183991135913172125294779" ref="AR139:AS157" totalsRowShown="0" headerRowDxfId="436">
  <tableColumns count="2">
    <tableColumn id="1" name="Despesas"/>
    <tableColumn id="2" name="Valor " dataDxfId="435"/>
  </tableColumns>
  <tableStyleInfo name="TableStyleLight19" showFirstColumn="0" showLastColumn="0" showRowStripes="1" showColumnStripes="0"/>
</table>
</file>

<file path=xl/tables/table60.xml><?xml version="1.0" encoding="utf-8"?>
<table xmlns="http://schemas.openxmlformats.org/spreadsheetml/2006/main" id="79" name="Table269121420304054708298112481216202428324880" displayName="Table269121420304054708298112481216202428324880" ref="AJ166:AQ184" totalsRowShown="0" headerRowDxfId="434" dataDxfId="433">
  <tableColumns count="8">
    <tableColumn id="1" name="Data" dataDxfId="432"/>
    <tableColumn id="2" name="KM Inicial" dataDxfId="431">
      <calculatedColumnFormula>AL166</calculatedColumnFormula>
    </tableColumn>
    <tableColumn id="3" name="KM Final" dataDxfId="430"/>
    <tableColumn id="4" name="KM Rodado" dataDxfId="429">
      <calculatedColumnFormula>Table269121420304054708298112481216202428324880[[#This Row],[KM Final]]-Table269121420304054708298112481216202428324880[[#This Row],[KM Inicial]]</calculatedColumnFormula>
    </tableColumn>
    <tableColumn id="5" name="Consumo Lt" dataDxfId="428"/>
    <tableColumn id="6" name="Média" dataDxfId="427">
      <calculatedColumnFormula>Table269121420304054708298112481216202428324880[[#This Row],[KM Rodado]]/Table269121420304054708298112481216202428324880[[#This Row],[Consumo Lt]]</calculatedColumnFormula>
    </tableColumn>
    <tableColumn id="8" name="ARLA/L" dataDxfId="426"/>
    <tableColumn id="7" name="Valor " dataDxfId="425" dataCellStyle="Moeda"/>
  </tableColumns>
  <tableStyleInfo name="TableStyleLight21" showFirstColumn="0" showLastColumn="0" showRowStripes="1" showColumnStripes="0"/>
</table>
</file>

<file path=xl/tables/table61.xml><?xml version="1.0" encoding="utf-8"?>
<table xmlns="http://schemas.openxmlformats.org/spreadsheetml/2006/main" id="80" name="Table3710131521314159718399113591317212529334981" displayName="Table3710131521314159718399113591317212529334981" ref="AR166:AS184" totalsRowShown="0" headerRowDxfId="424">
  <tableColumns count="2">
    <tableColumn id="1" name="Despesas"/>
    <tableColumn id="2" name="Valor " dataDxfId="423"/>
  </tableColumns>
  <tableStyleInfo name="TableStyleLight19" showFirstColumn="0" showLastColumn="0" showRowStripes="1" showColumnStripes="0"/>
</table>
</file>

<file path=xl/tables/table62.xml><?xml version="1.0" encoding="utf-8"?>
<table xmlns="http://schemas.openxmlformats.org/spreadsheetml/2006/main" id="35" name="Table2691214203040547082981124836" displayName="Table2691214203040547082981124836" ref="Y25:AF44" totalsRowCount="1" headerRowDxfId="422" dataDxfId="421">
  <tableColumns count="8">
    <tableColumn id="1" name="Data" dataDxfId="420" totalsRowDxfId="419"/>
    <tableColumn id="2" name="KM Inicial" dataDxfId="418" totalsRowDxfId="417">
      <calculatedColumnFormula>AA25</calculatedColumnFormula>
    </tableColumn>
    <tableColumn id="3" name="KM Final" dataDxfId="416" totalsRowDxfId="415"/>
    <tableColumn id="4" name="KM Rodado" dataDxfId="414" totalsRowDxfId="413">
      <calculatedColumnFormula>Table2691214203040547082981124836[[#This Row],[KM Final]]-Table2691214203040547082981124836[[#This Row],[KM Inicial]]</calculatedColumnFormula>
    </tableColumn>
    <tableColumn id="5" name="Consumo Lt" dataDxfId="412" totalsRowDxfId="411"/>
    <tableColumn id="6" name="Média" dataDxfId="410" totalsRowDxfId="409">
      <calculatedColumnFormula>Table2691214203040547082981124836[[#This Row],[KM Rodado]]/Table2691214203040547082981124836[[#This Row],[Consumo Lt]]</calculatedColumnFormula>
    </tableColumn>
    <tableColumn id="8" name="ARLA/L" dataDxfId="408" totalsRowDxfId="407"/>
    <tableColumn id="7" name="Valor " dataDxfId="406" totalsRowDxfId="405" dataCellStyle="Moeda"/>
  </tableColumns>
  <tableStyleInfo name="TableStyleLight21" showFirstColumn="0" showLastColumn="0" showRowStripes="1" showColumnStripes="0"/>
</table>
</file>

<file path=xl/tables/table63.xml><?xml version="1.0" encoding="utf-8"?>
<table xmlns="http://schemas.openxmlformats.org/spreadsheetml/2006/main" id="54" name="Table2691214203040547082981126101418222655" displayName="Table2691214203040547082981126101418222655" ref="Y139:AF162" totalsRowShown="0" headerRowDxfId="404" dataDxfId="403">
  <sortState ref="Y140:AF157">
    <sortCondition ref="Y140"/>
  </sortState>
  <tableColumns count="8">
    <tableColumn id="1" name="Data" dataDxfId="402"/>
    <tableColumn id="2" name="KM Inicial" dataDxfId="401">
      <calculatedColumnFormula>AA139</calculatedColumnFormula>
    </tableColumn>
    <tableColumn id="3" name="KM Final" dataDxfId="400"/>
    <tableColumn id="4" name="KM Rodado" dataDxfId="399"/>
    <tableColumn id="5" name="Consumo Lt" dataDxfId="398"/>
    <tableColumn id="6" name="Média" dataDxfId="397">
      <calculatedColumnFormula>Table2691214203040547082981126101418222655[[#This Row],[KM Rodado]]/Table2691214203040547082981126101418222655[[#This Row],[Consumo Lt]]</calculatedColumnFormula>
    </tableColumn>
    <tableColumn id="8" name="ARLA/L" dataDxfId="396"/>
    <tableColumn id="7" name="Valor " dataDxfId="395" dataCellStyle="Moeda"/>
  </tableColumns>
  <tableStyleInfo name="TableStyleLight21" showFirstColumn="0" showLastColumn="0" showRowStripes="1" showColumnStripes="0"/>
</table>
</file>

<file path=xl/tables/table64.xml><?xml version="1.0" encoding="utf-8"?>
<table xmlns="http://schemas.openxmlformats.org/spreadsheetml/2006/main" id="55" name="Table37101315213141597183991137111519232756" displayName="Table37101315213141597183991137111519232756" ref="AG139:AH157" totalsRowShown="0" headerRowDxfId="394">
  <tableColumns count="2">
    <tableColumn id="1" name="Despesas"/>
    <tableColumn id="2" name="Valor " dataDxfId="393"/>
  </tableColumns>
  <tableStyleInfo name="TableStyleLight19" showFirstColumn="0" showLastColumn="0" showRowStripes="1" showColumnStripes="0"/>
</table>
</file>

<file path=xl/tables/table65.xml><?xml version="1.0" encoding="utf-8"?>
<table xmlns="http://schemas.openxmlformats.org/spreadsheetml/2006/main" id="129" name="Table26912142030405470829811243466130" displayName="Table26912142030405470829811243466130" ref="AV2:BC20" totalsRowShown="0" headerRowDxfId="392" dataDxfId="391">
  <tableColumns count="8">
    <tableColumn id="1" name="Data" dataDxfId="390"/>
    <tableColumn id="2" name="KM Inicial" dataDxfId="389">
      <calculatedColumnFormula>AX2</calculatedColumnFormula>
    </tableColumn>
    <tableColumn id="3" name="KM Final" dataDxfId="388"/>
    <tableColumn id="4" name="KM Rodado" dataDxfId="387">
      <calculatedColumnFormula>Table26912142030405470829811243466130[[#This Row],[KM Final]]-Table26912142030405470829811243466130[[#This Row],[KM Inicial]]</calculatedColumnFormula>
    </tableColumn>
    <tableColumn id="5" name="Consumo Lt" dataDxfId="386"/>
    <tableColumn id="6" name="Média" dataDxfId="385">
      <calculatedColumnFormula>Table26912142030405470829811243466130[[#This Row],[KM Rodado]]/Table26912142030405470829811243466130[[#This Row],[Consumo Lt]]</calculatedColumnFormula>
    </tableColumn>
    <tableColumn id="9" name="ARLA/L" dataDxfId="384"/>
    <tableColumn id="7" name="Valor " dataDxfId="383" dataCellStyle="Moeda"/>
  </tableColumns>
  <tableStyleInfo name="TableStyleLight21" showFirstColumn="0" showLastColumn="0" showRowStripes="1" showColumnStripes="0"/>
</table>
</file>

<file path=xl/tables/table66.xml><?xml version="1.0" encoding="utf-8"?>
<table xmlns="http://schemas.openxmlformats.org/spreadsheetml/2006/main" id="130" name="Table371013152131415971839911353567131" displayName="Table371013152131415971839911353567131" ref="BD2:BE20" totalsRowShown="0" headerRowDxfId="382">
  <tableColumns count="2">
    <tableColumn id="1" name="Despesas"/>
    <tableColumn id="2" name="Valor " dataDxfId="381"/>
  </tableColumns>
  <tableStyleInfo name="TableStyleLight19" showFirstColumn="0" showLastColumn="0" showRowStripes="1" showColumnStripes="0"/>
</table>
</file>

<file path=xl/tables/table67.xml><?xml version="1.0" encoding="utf-8"?>
<table xmlns="http://schemas.openxmlformats.org/spreadsheetml/2006/main" id="131" name="Table269121420304054708298112483668132" displayName="Table269121420304054708298112483668132" ref="AV25:BC44" totalsRowCount="1" headerRowDxfId="380" dataDxfId="379">
  <sortState ref="AV26:BC43">
    <sortCondition ref="AV26"/>
  </sortState>
  <tableColumns count="8">
    <tableColumn id="1" name="Data" dataDxfId="378" totalsRowDxfId="377"/>
    <tableColumn id="2" name="KM Inicial" dataDxfId="376" totalsRowDxfId="375">
      <calculatedColumnFormula>AX25</calculatedColumnFormula>
    </tableColumn>
    <tableColumn id="3" name="KM Final" dataDxfId="374" totalsRowDxfId="373"/>
    <tableColumn id="4" name="KM Rodado" dataDxfId="372" totalsRowDxfId="371">
      <calculatedColumnFormula>Table269121420304054708298112483668132[[#This Row],[KM Final]]-Table269121420304054708298112483668132[[#This Row],[KM Inicial]]</calculatedColumnFormula>
    </tableColumn>
    <tableColumn id="5" name="Consumo Lt" dataDxfId="370" totalsRowDxfId="369"/>
    <tableColumn id="6" name="Média" dataDxfId="368" totalsRowDxfId="367">
      <calculatedColumnFormula>Table269121420304054708298112483668132[[#This Row],[KM Rodado]]/Table269121420304054708298112483668132[[#This Row],[Consumo Lt]]</calculatedColumnFormula>
    </tableColumn>
    <tableColumn id="8" name="ARLA/L" dataDxfId="366" totalsRowDxfId="365"/>
    <tableColumn id="7" name="Valor " dataDxfId="364" totalsRowDxfId="363" dataCellStyle="Moeda"/>
  </tableColumns>
  <tableStyleInfo name="TableStyleLight21" showFirstColumn="0" showLastColumn="0" showRowStripes="1" showColumnStripes="0"/>
</table>
</file>

<file path=xl/tables/table68.xml><?xml version="1.0" encoding="utf-8"?>
<table xmlns="http://schemas.openxmlformats.org/spreadsheetml/2006/main" id="132" name="Table3710131521314159718399113593769133" displayName="Table3710131521314159718399113593769133" ref="BD25:BE43" totalsRowShown="0" headerRowDxfId="362">
  <tableColumns count="2">
    <tableColumn id="1" name="Despesas"/>
    <tableColumn id="2" name="Valor " dataDxfId="361"/>
  </tableColumns>
  <tableStyleInfo name="TableStyleLight19" showFirstColumn="0" showLastColumn="0" showRowStripes="1" showColumnStripes="0"/>
</table>
</file>

<file path=xl/tables/table69.xml><?xml version="1.0" encoding="utf-8"?>
<table xmlns="http://schemas.openxmlformats.org/spreadsheetml/2006/main" id="133" name="Table26912142030405470829811248123870134" displayName="Table26912142030405470829811248123870134" ref="AV48:BC66" totalsRowShown="0" headerRowDxfId="360" dataDxfId="359">
  <tableColumns count="8">
    <tableColumn id="1" name="Data" dataDxfId="358"/>
    <tableColumn id="2" name="KM Inicial" dataDxfId="357">
      <calculatedColumnFormula>AX48</calculatedColumnFormula>
    </tableColumn>
    <tableColumn id="3" name="KM Final" dataDxfId="356"/>
    <tableColumn id="4" name="KM Rodado" dataDxfId="355">
      <calculatedColumnFormula>Table26912142030405470829811248123870134[[#This Row],[KM Final]]-Table26912142030405470829811248123870134[[#This Row],[KM Inicial]]</calculatedColumnFormula>
    </tableColumn>
    <tableColumn id="5" name="Consumo Lt" dataDxfId="354"/>
    <tableColumn id="6" name="Média" dataDxfId="353">
      <calculatedColumnFormula>Table26912142030405470829811248123870134[[#This Row],[KM Rodado]]/Table26912142030405470829811248123870134[[#This Row],[Consumo Lt]]</calculatedColumnFormula>
    </tableColumn>
    <tableColumn id="8" name="ARLA/L" dataDxfId="352"/>
    <tableColumn id="7" name="Valor " dataDxfId="351" dataCellStyle="Moeda"/>
  </tableColumns>
  <tableStyleInfo name="TableStyleLight21" showFirstColumn="0" showLastColumn="0" showRowStripes="1" showColumnStripes="0"/>
</table>
</file>

<file path=xl/tables/table70.xml><?xml version="1.0" encoding="utf-8"?>
<table xmlns="http://schemas.openxmlformats.org/spreadsheetml/2006/main" id="134" name="Table371013152131415971839911359133971135" displayName="Table371013152131415971839911359133971135" ref="BD48:BE66" totalsRowShown="0" headerRowDxfId="350">
  <tableColumns count="2">
    <tableColumn id="1" name="Despesas"/>
    <tableColumn id="2" name="Valor " dataDxfId="349"/>
  </tableColumns>
  <tableStyleInfo name="TableStyleLight19" showFirstColumn="0" showLastColumn="0" showRowStripes="1" showColumnStripes="0"/>
</table>
</file>

<file path=xl/tables/table71.xml><?xml version="1.0" encoding="utf-8"?>
<table xmlns="http://schemas.openxmlformats.org/spreadsheetml/2006/main" id="135" name="Table2691214203040547082981124812164072136" displayName="Table2691214203040547082981124812164072136" ref="AV71:BC89" totalsRowShown="0" headerRowDxfId="348" dataDxfId="347">
  <sortState ref="AV72:BC89">
    <sortCondition ref="AV72"/>
  </sortState>
  <tableColumns count="8">
    <tableColumn id="1" name="Data" dataDxfId="346"/>
    <tableColumn id="2" name="KM Inicial" dataDxfId="345">
      <calculatedColumnFormula>AX71</calculatedColumnFormula>
    </tableColumn>
    <tableColumn id="3" name="KM Final" dataDxfId="344"/>
    <tableColumn id="4" name="KM Rodado" dataDxfId="343">
      <calculatedColumnFormula>Table2691214203040547082981124812164072136[[#This Row],[KM Final]]-Table2691214203040547082981124812164072136[[#This Row],[KM Inicial]]</calculatedColumnFormula>
    </tableColumn>
    <tableColumn id="5" name="Consumo Lt" dataDxfId="342"/>
    <tableColumn id="6" name="Média" dataDxfId="341">
      <calculatedColumnFormula>Table2691214203040547082981124812164072136[[#This Row],[KM Rodado]]/Table2691214203040547082981124812164072136[[#This Row],[Consumo Lt]]</calculatedColumnFormula>
    </tableColumn>
    <tableColumn id="8" name="ARLA/L" dataDxfId="340"/>
    <tableColumn id="7" name="Valor " dataDxfId="339" dataCellStyle="Moeda"/>
  </tableColumns>
  <tableStyleInfo name="TableStyleLight21" showFirstColumn="0" showLastColumn="0" showRowStripes="1" showColumnStripes="0"/>
</table>
</file>

<file path=xl/tables/table72.xml><?xml version="1.0" encoding="utf-8"?>
<table xmlns="http://schemas.openxmlformats.org/spreadsheetml/2006/main" id="136" name="Table37101315213141597183991135913174173137" displayName="Table37101315213141597183991135913174173137" ref="BD71:BE89" totalsRowShown="0" headerRowDxfId="338">
  <tableColumns count="2">
    <tableColumn id="1" name="Despesas"/>
    <tableColumn id="2" name="Valor " dataDxfId="337"/>
  </tableColumns>
  <tableStyleInfo name="TableStyleLight19" showFirstColumn="0" showLastColumn="0" showRowStripes="1" showColumnStripes="0"/>
</table>
</file>

<file path=xl/tables/table73.xml><?xml version="1.0" encoding="utf-8"?>
<table xmlns="http://schemas.openxmlformats.org/spreadsheetml/2006/main" id="137" name="Table269121420304054708298112481216204274138" displayName="Table269121420304054708298112481216204274138" ref="AV94:BC112" totalsRowShown="0" headerRowDxfId="336" dataDxfId="335">
  <tableColumns count="8">
    <tableColumn id="1" name="Data" dataDxfId="334"/>
    <tableColumn id="2" name="KM Inicial" dataDxfId="333">
      <calculatedColumnFormula>AX94</calculatedColumnFormula>
    </tableColumn>
    <tableColumn id="3" name="KM Final" dataDxfId="332"/>
    <tableColumn id="4" name="KM Rodado" dataDxfId="331">
      <calculatedColumnFormula>Table269121420304054708298112481216204274138[[#This Row],[KM Final]]-Table269121420304054708298112481216204274138[[#This Row],[KM Inicial]]</calculatedColumnFormula>
    </tableColumn>
    <tableColumn id="5" name="Consumo Lt" dataDxfId="330"/>
    <tableColumn id="6" name="Média" dataDxfId="329">
      <calculatedColumnFormula>Table269121420304054708298112481216204274138[[#This Row],[KM Rodado]]/Table269121420304054708298112481216204274138[[#This Row],[Consumo Lt]]</calculatedColumnFormula>
    </tableColumn>
    <tableColumn id="8" name="ARLA/L" dataDxfId="328"/>
    <tableColumn id="7" name="Valor " dataDxfId="327" dataCellStyle="Moeda"/>
  </tableColumns>
  <tableStyleInfo name="TableStyleLight21" showFirstColumn="0" showLastColumn="0" showRowStripes="1" showColumnStripes="0"/>
</table>
</file>

<file path=xl/tables/table74.xml><?xml version="1.0" encoding="utf-8"?>
<table xmlns="http://schemas.openxmlformats.org/spreadsheetml/2006/main" id="138" name="Table3710131521314159718399113591317214375139" displayName="Table3710131521314159718399113591317214375139" ref="BD94:BE112" totalsRowShown="0" headerRowDxfId="326">
  <tableColumns count="2">
    <tableColumn id="1" name="Despesas"/>
    <tableColumn id="2" name="Valor " dataDxfId="325"/>
  </tableColumns>
  <tableStyleInfo name="TableStyleLight19" showFirstColumn="0" showLastColumn="0" showRowStripes="1" showColumnStripes="0"/>
</table>
</file>

<file path=xl/tables/table75.xml><?xml version="1.0" encoding="utf-8"?>
<table xmlns="http://schemas.openxmlformats.org/spreadsheetml/2006/main" id="139" name="Table26912142030405470829811248121620244476140" displayName="Table26912142030405470829811248121620244476140" ref="AV117:BC135" totalsRowShown="0" headerRowDxfId="324" dataDxfId="323">
  <tableColumns count="8">
    <tableColumn id="1" name="Data" dataDxfId="322"/>
    <tableColumn id="2" name="KM Inicial" dataDxfId="321">
      <calculatedColumnFormula>AX117</calculatedColumnFormula>
    </tableColumn>
    <tableColumn id="3" name="KM Final" dataDxfId="320"/>
    <tableColumn id="4" name="KM Rodado" dataDxfId="319">
      <calculatedColumnFormula>Table26912142030405470829811248121620244476140[[#This Row],[KM Final]]-Table26912142030405470829811248121620244476140[[#This Row],[KM Inicial]]</calculatedColumnFormula>
    </tableColumn>
    <tableColumn id="5" name="Consumo Lt" dataDxfId="318"/>
    <tableColumn id="6" name="Média" dataDxfId="317">
      <calculatedColumnFormula>Table26912142030405470829811248121620244476140[[#This Row],[KM Rodado]]/Table26912142030405470829811248121620244476140[[#This Row],[Consumo Lt]]</calculatedColumnFormula>
    </tableColumn>
    <tableColumn id="8" name="ARLA/L" dataDxfId="316"/>
    <tableColumn id="7" name="Valor " dataDxfId="315" dataCellStyle="Moeda"/>
  </tableColumns>
  <tableStyleInfo name="TableStyleLight21" showFirstColumn="0" showLastColumn="0" showRowStripes="1" showColumnStripes="0"/>
</table>
</file>

<file path=xl/tables/table76.xml><?xml version="1.0" encoding="utf-8"?>
<table xmlns="http://schemas.openxmlformats.org/spreadsheetml/2006/main" id="140" name="Table371013152131415971839911359131721254577141" displayName="Table371013152131415971839911359131721254577141" ref="BD117:BE135" totalsRowShown="0" headerRowDxfId="314">
  <tableColumns count="2">
    <tableColumn id="1" name="Despesas"/>
    <tableColumn id="2" name="Valor " dataDxfId="313"/>
  </tableColumns>
  <tableStyleInfo name="TableStyleLight19" showFirstColumn="0" showLastColumn="0" showRowStripes="1" showColumnStripes="0"/>
</table>
</file>

<file path=xl/tables/table77.xml><?xml version="1.0" encoding="utf-8"?>
<table xmlns="http://schemas.openxmlformats.org/spreadsheetml/2006/main" id="141" name="Table2691214203040547082981124812162024284678142" displayName="Table2691214203040547082981124812162024284678142" ref="AV139:BC161" headerRowDxfId="312" dataDxfId="311" totalsRowDxfId="310">
  <tableColumns count="8">
    <tableColumn id="1" name="Data" dataDxfId="309" totalsRowDxfId="308"/>
    <tableColumn id="2" name="KM Inicial" dataDxfId="307" totalsRowDxfId="306">
      <calculatedColumnFormula>AX139</calculatedColumnFormula>
    </tableColumn>
    <tableColumn id="3" name="KM Final" dataDxfId="305" totalsRowDxfId="304"/>
    <tableColumn id="4" name="KM Rodado" dataDxfId="303" totalsRowDxfId="302">
      <calculatedColumnFormula>Table2691214203040547082981124812162024284678142[[#This Row],[KM Final]]-Table2691214203040547082981124812162024284678142[[#This Row],[KM Inicial]]</calculatedColumnFormula>
    </tableColumn>
    <tableColumn id="5" name="Consumo Lt" dataDxfId="301" totalsRowDxfId="300"/>
    <tableColumn id="6" name="Média" dataDxfId="299" totalsRowDxfId="298">
      <calculatedColumnFormula>Table2691214203040547082981124812162024284678142[[#This Row],[KM Rodado]]/Table2691214203040547082981124812162024284678142[[#This Row],[Consumo Lt]]</calculatedColumnFormula>
    </tableColumn>
    <tableColumn id="8" name="ARLA/L" dataDxfId="297" totalsRowDxfId="296"/>
    <tableColumn id="7" name="Valor " dataDxfId="295" totalsRowDxfId="294" dataCellStyle="Moeda"/>
  </tableColumns>
  <tableStyleInfo name="TableStyleLight21" showFirstColumn="0" showLastColumn="0" showRowStripes="1" showColumnStripes="0"/>
</table>
</file>

<file path=xl/tables/table78.xml><?xml version="1.0" encoding="utf-8"?>
<table xmlns="http://schemas.openxmlformats.org/spreadsheetml/2006/main" id="143" name="Table269121420304054708298112481216202428324880144" displayName="Table269121420304054708298112481216202428324880144" ref="AV166:BC184" totalsRowShown="0" headerRowDxfId="293" dataDxfId="292">
  <tableColumns count="8">
    <tableColumn id="1" name="Data" dataDxfId="291"/>
    <tableColumn id="2" name="KM Inicial" dataDxfId="290">
      <calculatedColumnFormula>AX166</calculatedColumnFormula>
    </tableColumn>
    <tableColumn id="3" name="KM Final" dataDxfId="289"/>
    <tableColumn id="4" name="KM Rodado" dataDxfId="288">
      <calculatedColumnFormula>Table269121420304054708298112481216202428324880144[[#This Row],[KM Final]]-Table269121420304054708298112481216202428324880144[[#This Row],[KM Inicial]]</calculatedColumnFormula>
    </tableColumn>
    <tableColumn id="5" name="Consumo Lt" dataDxfId="287"/>
    <tableColumn id="6" name="Média" dataDxfId="286">
      <calculatedColumnFormula>Table269121420304054708298112481216202428324880144[[#This Row],[KM Rodado]]/Table269121420304054708298112481216202428324880144[[#This Row],[Consumo Lt]]</calculatedColumnFormula>
    </tableColumn>
    <tableColumn id="8" name="ARLA/L" dataDxfId="285"/>
    <tableColumn id="7" name="Valor " dataDxfId="284" dataCellStyle="Moeda"/>
  </tableColumns>
  <tableStyleInfo name="TableStyleLight21" showFirstColumn="0" showLastColumn="0" showRowStripes="1" showColumnStripes="0"/>
</table>
</file>

<file path=xl/tables/table79.xml><?xml version="1.0" encoding="utf-8"?>
<table xmlns="http://schemas.openxmlformats.org/spreadsheetml/2006/main" id="144" name="Table3710131521314159718399113591317212529334981145" displayName="Table3710131521314159718399113591317212529334981145" ref="BD166:BE184" totalsRowShown="0" headerRowDxfId="283">
  <tableColumns count="2">
    <tableColumn id="1" name="Despesas"/>
    <tableColumn id="2" name="Valor " dataDxfId="282"/>
  </tableColumns>
  <tableStyleInfo name="TableStyleLight19" showFirstColumn="0" showLastColumn="0" showRowStripes="1" showColumnStripes="0"/>
</table>
</file>

<file path=xl/tables/table80.xml><?xml version="1.0" encoding="utf-8"?>
<table xmlns="http://schemas.openxmlformats.org/spreadsheetml/2006/main" id="45" name="Table26912142030405470829811248121620242832488014446" displayName="Table26912142030405470829811248121620242832488014446" ref="AV188:BC206" totalsRowShown="0" headerRowDxfId="281" dataDxfId="280">
  <tableColumns count="8">
    <tableColumn id="1" name="Data" dataDxfId="279"/>
    <tableColumn id="2" name="KM Inicial" dataDxfId="278">
      <calculatedColumnFormula>AX188</calculatedColumnFormula>
    </tableColumn>
    <tableColumn id="3" name="KM Final" dataDxfId="277"/>
    <tableColumn id="4" name="KM Rodado" dataDxfId="276">
      <calculatedColumnFormula>Table26912142030405470829811248121620242832488014446[[#This Row],[KM Final]]-Table26912142030405470829811248121620242832488014446[[#This Row],[KM Inicial]]</calculatedColumnFormula>
    </tableColumn>
    <tableColumn id="5" name="Consumo Lt" dataDxfId="275"/>
    <tableColumn id="6" name="Média" dataDxfId="274">
      <calculatedColumnFormula>Table26912142030405470829811248121620242832488014446[[#This Row],[KM Rodado]]/Table26912142030405470829811248121620242832488014446[[#This Row],[Consumo Lt]]</calculatedColumnFormula>
    </tableColumn>
    <tableColumn id="8" name="ARLA/L" dataDxfId="273"/>
    <tableColumn id="7" name="Valor " dataDxfId="272" dataCellStyle="Moeda"/>
  </tableColumns>
  <tableStyleInfo name="TableStyleLight21" showFirstColumn="0" showLastColumn="0" showRowStripes="1" showColumnStripes="0"/>
</table>
</file>

<file path=xl/tables/table81.xml><?xml version="1.0" encoding="utf-8"?>
<table xmlns="http://schemas.openxmlformats.org/spreadsheetml/2006/main" id="46" name="Table371013152131415971839911359131721252933498114547" displayName="Table371013152131415971839911359131721252933498114547" ref="BD188:BE206" totalsRowShown="0" headerRowDxfId="271">
  <tableColumns count="2">
    <tableColumn id="1" name="Despesas"/>
    <tableColumn id="2" name="Valor " dataDxfId="270"/>
  </tableColumns>
  <tableStyleInfo name="TableStyleLight19" showFirstColumn="0" showLastColumn="0" showRowStripes="1" showColumnStripes="0"/>
</table>
</file>

<file path=xl/tables/table82.xml><?xml version="1.0" encoding="utf-8"?>
<table xmlns="http://schemas.openxmlformats.org/spreadsheetml/2006/main" id="142" name="Table37101315213141597183991135913172125294779143" displayName="Table37101315213141597183991135913172125294779143" ref="BD139:BE157" totalsRowShown="0" headerRowDxfId="269">
  <tableColumns count="2">
    <tableColumn id="1" name="Despesas"/>
    <tableColumn id="2" name="Valor " dataDxfId="268"/>
  </tableColumns>
  <tableStyleInfo name="TableStyleLight19" showFirstColumn="0" showLastColumn="0" showRowStripes="1" showColumnStripes="0"/>
</table>
</file>

<file path=xl/tables/table83.xml><?xml version="1.0" encoding="utf-8"?>
<table xmlns="http://schemas.openxmlformats.org/spreadsheetml/2006/main" id="49" name="Table2691214203040547082981124812162024283248801444650" displayName="Table2691214203040547082981124812162024283248801444650" ref="AV209:BC227" totalsRowShown="0" headerRowDxfId="267" dataDxfId="266">
  <tableColumns count="8">
    <tableColumn id="1" name="Data" dataDxfId="265"/>
    <tableColumn id="2" name="KM Inicial" dataDxfId="264">
      <calculatedColumnFormula>AX209</calculatedColumnFormula>
    </tableColumn>
    <tableColumn id="3" name="KM Final" dataDxfId="263"/>
    <tableColumn id="4" name="KM Rodado" dataDxfId="262">
      <calculatedColumnFormula>Table2691214203040547082981124812162024283248801444650[[#This Row],[KM Final]]-Table2691214203040547082981124812162024283248801444650[[#This Row],[KM Inicial]]</calculatedColumnFormula>
    </tableColumn>
    <tableColumn id="5" name="Consumo Lt" dataDxfId="261"/>
    <tableColumn id="6" name="Média" dataDxfId="260">
      <calculatedColumnFormula>Table2691214203040547082981124812162024283248801444650[[#This Row],[KM Rodado]]/Table2691214203040547082981124812162024283248801444650[[#This Row],[Consumo Lt]]</calculatedColumnFormula>
    </tableColumn>
    <tableColumn id="8" name="ARLA/L" dataDxfId="259"/>
    <tableColumn id="7" name="Valor " dataDxfId="258" dataCellStyle="Moeda"/>
  </tableColumns>
  <tableStyleInfo name="TableStyleLight21" showFirstColumn="0" showLastColumn="0" showRowStripes="1" showColumnStripes="0"/>
</table>
</file>

<file path=xl/tables/table84.xml><?xml version="1.0" encoding="utf-8"?>
<table xmlns="http://schemas.openxmlformats.org/spreadsheetml/2006/main" id="50" name="Table37101315213141597183991135913172125293349811454751" displayName="Table37101315213141597183991135913172125293349811454751" ref="BD209:BE227" totalsRowShown="0" headerRowDxfId="257">
  <tableColumns count="2">
    <tableColumn id="1" name="Despesas"/>
    <tableColumn id="2" name="Valor " dataDxfId="256"/>
  </tableColumns>
  <tableStyleInfo name="TableStyleLight19" showFirstColumn="0" showLastColumn="0" showRowStripes="1" showColumnStripes="0"/>
</table>
</file>

<file path=xl/tables/table85.xml><?xml version="1.0" encoding="utf-8"?>
<table xmlns="http://schemas.openxmlformats.org/spreadsheetml/2006/main" id="51" name="Table26912142030405470829811252" displayName="Table26912142030405470829811252" ref="BH2:BO20" totalsRowShown="0" headerRowDxfId="255" dataDxfId="254">
  <tableColumns count="8">
    <tableColumn id="1" name="Data" dataDxfId="253"/>
    <tableColumn id="2" name="KM Inicial" dataDxfId="252">
      <calculatedColumnFormula>BJ2</calculatedColumnFormula>
    </tableColumn>
    <tableColumn id="3" name="KM Final" dataDxfId="251"/>
    <tableColumn id="4" name="KM Rodado" dataDxfId="250">
      <calculatedColumnFormula>Table26912142030405470829811252[[#This Row],[KM Final]]-Table26912142030405470829811252[[#This Row],[KM Inicial]]</calculatedColumnFormula>
    </tableColumn>
    <tableColumn id="5" name="Consumo Lt" dataDxfId="249"/>
    <tableColumn id="6" name="Média" dataDxfId="248">
      <calculatedColumnFormula>Table26912142030405470829811252[[#This Row],[KM Rodado]]/Table26912142030405470829811252[[#This Row],[Consumo Lt]]</calculatedColumnFormula>
    </tableColumn>
    <tableColumn id="9" name="ARLA/L" dataDxfId="247"/>
    <tableColumn id="7" name="Valor " dataDxfId="246" dataCellStyle="Moeda"/>
  </tableColumns>
  <tableStyleInfo name="TableStyleLight21" showFirstColumn="0" showLastColumn="0" showRowStripes="1" showColumnStripes="0"/>
</table>
</file>

<file path=xl/tables/table86.xml><?xml version="1.0" encoding="utf-8"?>
<table xmlns="http://schemas.openxmlformats.org/spreadsheetml/2006/main" id="52" name="Table371013152131415971839911353" displayName="Table371013152131415971839911353" ref="BP2:BQ20" totalsRowShown="0" headerRowDxfId="245">
  <tableColumns count="2">
    <tableColumn id="1" name="Despesas"/>
    <tableColumn id="2" name="Valor " dataDxfId="244"/>
  </tableColumns>
  <tableStyleInfo name="TableStyleLight19" showFirstColumn="0" showLastColumn="0" showRowStripes="1" showColumnStripes="0"/>
</table>
</file>

<file path=xl/tables/table87.xml><?xml version="1.0" encoding="utf-8"?>
<table xmlns="http://schemas.openxmlformats.org/spreadsheetml/2006/main" id="53" name="Table269121420304054708298112654" displayName="Table269121420304054708298112654" ref="BH25:BO44" totalsRowCount="1" headerRowDxfId="243" dataDxfId="242">
  <tableColumns count="8">
    <tableColumn id="1" name="Data" dataDxfId="241" totalsRowDxfId="240"/>
    <tableColumn id="2" name="KM Inicial" dataDxfId="239" totalsRowDxfId="238">
      <calculatedColumnFormula>BJ25</calculatedColumnFormula>
    </tableColumn>
    <tableColumn id="3" name="KM Final" dataDxfId="237" totalsRowDxfId="236"/>
    <tableColumn id="4" name="KM Rodado" dataDxfId="235" totalsRowDxfId="234">
      <calculatedColumnFormula>Table269121420304054708298112654[[#This Row],[KM Final]]-Table269121420304054708298112654[[#This Row],[KM Inicial]]</calculatedColumnFormula>
    </tableColumn>
    <tableColumn id="5" name="Consumo Lt" dataDxfId="233" totalsRowDxfId="232"/>
    <tableColumn id="6" name="Média" dataDxfId="231" totalsRowDxfId="230">
      <calculatedColumnFormula>Table269121420304054708298112654[[#This Row],[KM Rodado]]/Table269121420304054708298112654[[#This Row],[Consumo Lt]]</calculatedColumnFormula>
    </tableColumn>
    <tableColumn id="8" name="ARLA/L" dataDxfId="229" totalsRowDxfId="228"/>
    <tableColumn id="7" name="Valor " dataDxfId="227" totalsRowDxfId="226" dataCellStyle="Moeda"/>
  </tableColumns>
  <tableStyleInfo name="TableStyleLight21" showFirstColumn="0" showLastColumn="0" showRowStripes="1" showColumnStripes="0"/>
</table>
</file>

<file path=xl/tables/table88.xml><?xml version="1.0" encoding="utf-8"?>
<table xmlns="http://schemas.openxmlformats.org/spreadsheetml/2006/main" id="56" name="Table3710131521314159718399113757" displayName="Table3710131521314159718399113757" ref="BP25:BQ43" totalsRowShown="0" headerRowDxfId="225">
  <tableColumns count="2">
    <tableColumn id="1" name="Despesas"/>
    <tableColumn id="2" name="Valor " dataDxfId="224"/>
  </tableColumns>
  <tableStyleInfo name="TableStyleLight19" showFirstColumn="0" showLastColumn="0" showRowStripes="1" showColumnStripes="0"/>
</table>
</file>

<file path=xl/tables/table89.xml><?xml version="1.0" encoding="utf-8"?>
<table xmlns="http://schemas.openxmlformats.org/spreadsheetml/2006/main" id="57" name="Table26912142030405470829811261058" displayName="Table26912142030405470829811261058" ref="BH48:BO66" totalsRowShown="0" headerRowDxfId="223" dataDxfId="222">
  <sortState ref="BH49:BO66">
    <sortCondition ref="BH49"/>
  </sortState>
  <tableColumns count="8">
    <tableColumn id="1" name="Data" dataDxfId="221"/>
    <tableColumn id="2" name="KM Inicial" dataDxfId="220">
      <calculatedColumnFormula>BJ48</calculatedColumnFormula>
    </tableColumn>
    <tableColumn id="3" name="KM Final" dataDxfId="219"/>
    <tableColumn id="4" name="KM Rodado" dataDxfId="218">
      <calculatedColumnFormula>Table26912142030405470829811261058[[#This Row],[KM Final]]-Table26912142030405470829811261058[[#This Row],[KM Inicial]]</calculatedColumnFormula>
    </tableColumn>
    <tableColumn id="5" name="Consumo Lt" dataDxfId="217"/>
    <tableColumn id="6" name="Média" dataDxfId="216">
      <calculatedColumnFormula>Table26912142030405470829811261058[[#This Row],[KM Rodado]]/Table26912142030405470829811261058[[#This Row],[Consumo Lt]]</calculatedColumnFormula>
    </tableColumn>
    <tableColumn id="8" name="ARLA/L" dataDxfId="215"/>
    <tableColumn id="7" name="Valor " dataDxfId="214" dataCellStyle="Moeda"/>
  </tableColumns>
  <tableStyleInfo name="TableStyleLight21" showFirstColumn="0" showLastColumn="0" showRowStripes="1" showColumnStripes="0"/>
</table>
</file>

<file path=xl/tables/table90.xml><?xml version="1.0" encoding="utf-8"?>
<table xmlns="http://schemas.openxmlformats.org/spreadsheetml/2006/main" id="58" name="Table371013152131415971839911371159" displayName="Table371013152131415971839911371159" ref="BP48:BQ66" totalsRowShown="0" headerRowDxfId="213">
  <tableColumns count="2">
    <tableColumn id="1" name="Despesas"/>
    <tableColumn id="2" name="Valor " dataDxfId="212"/>
  </tableColumns>
  <tableStyleInfo name="TableStyleLight19" showFirstColumn="0" showLastColumn="0" showRowStripes="1" showColumnStripes="0"/>
</table>
</file>

<file path=xl/tables/table91.xml><?xml version="1.0" encoding="utf-8"?>
<table xmlns="http://schemas.openxmlformats.org/spreadsheetml/2006/main" id="59" name="Table2691214203040547082981126101460" displayName="Table2691214203040547082981126101460" ref="BH71:BO89" totalsRowShown="0" headerRowDxfId="211" dataDxfId="210">
  <tableColumns count="8">
    <tableColumn id="1" name="Data" dataDxfId="209"/>
    <tableColumn id="2" name="KM Inicial" dataDxfId="208">
      <calculatedColumnFormula>BJ71</calculatedColumnFormula>
    </tableColumn>
    <tableColumn id="3" name="KM Final" dataDxfId="207"/>
    <tableColumn id="4" name="KM Rodado" dataDxfId="206">
      <calculatedColumnFormula>Table2691214203040547082981126101460[[#This Row],[KM Final]]-Table2691214203040547082981126101460[[#This Row],[KM Inicial]]</calculatedColumnFormula>
    </tableColumn>
    <tableColumn id="5" name="Consumo Lt" dataDxfId="205"/>
    <tableColumn id="6" name="Média" dataDxfId="204">
      <calculatedColumnFormula>Table2691214203040547082981126101460[[#This Row],[KM Rodado]]/Table2691214203040547082981126101460[[#This Row],[Consumo Lt]]</calculatedColumnFormula>
    </tableColumn>
    <tableColumn id="9" name="ARLA/L" dataDxfId="203"/>
    <tableColumn id="7" name="Valor " dataDxfId="202" dataCellStyle="Moeda"/>
  </tableColumns>
  <tableStyleInfo name="TableStyleLight21" showFirstColumn="0" showLastColumn="0" showRowStripes="1" showColumnStripes="0"/>
</table>
</file>

<file path=xl/tables/table92.xml><?xml version="1.0" encoding="utf-8"?>
<table xmlns="http://schemas.openxmlformats.org/spreadsheetml/2006/main" id="60" name="Table37101315213141597183991137111561" displayName="Table37101315213141597183991137111561" ref="BP71:BQ89" totalsRowShown="0" headerRowDxfId="201">
  <tableColumns count="2">
    <tableColumn id="1" name="Despesas"/>
    <tableColumn id="2" name="Valor " dataDxfId="200"/>
  </tableColumns>
  <tableStyleInfo name="TableStyleLight19" showFirstColumn="0" showLastColumn="0" showRowStripes="1" showColumnStripes="0"/>
</table>
</file>

<file path=xl/tables/table93.xml><?xml version="1.0" encoding="utf-8"?>
<table xmlns="http://schemas.openxmlformats.org/spreadsheetml/2006/main" id="61" name="Table269121420304054708298112610141862" displayName="Table269121420304054708298112610141862" ref="BH94:BO112" totalsRowShown="0" headerRowDxfId="199" dataDxfId="198">
  <tableColumns count="8">
    <tableColumn id="1" name="Data" dataDxfId="197"/>
    <tableColumn id="2" name="KM Inicial" dataDxfId="196">
      <calculatedColumnFormula>BJ94</calculatedColumnFormula>
    </tableColumn>
    <tableColumn id="3" name="KM Final" dataDxfId="195"/>
    <tableColumn id="4" name="KM Rodado" dataDxfId="194">
      <calculatedColumnFormula>Table269121420304054708298112610141862[[#This Row],[KM Final]]-Table269121420304054708298112610141862[[#This Row],[KM Inicial]]</calculatedColumnFormula>
    </tableColumn>
    <tableColumn id="5" name="Consumo Lt" dataDxfId="193"/>
    <tableColumn id="6" name="Média" dataDxfId="192">
      <calculatedColumnFormula>Table269121420304054708298112610141862[[#This Row],[KM Rodado]]/Table269121420304054708298112610141862[[#This Row],[Consumo Lt]]</calculatedColumnFormula>
    </tableColumn>
    <tableColumn id="8" name="ARLA/L" dataDxfId="191"/>
    <tableColumn id="7" name="Valor " dataDxfId="190" dataCellStyle="Moeda"/>
  </tableColumns>
  <tableStyleInfo name="TableStyleLight21" showFirstColumn="0" showLastColumn="0" showRowStripes="1" showColumnStripes="0"/>
</table>
</file>

<file path=xl/tables/table94.xml><?xml version="1.0" encoding="utf-8"?>
<table xmlns="http://schemas.openxmlformats.org/spreadsheetml/2006/main" id="62" name="Table3710131521314159718399113711151963" displayName="Table3710131521314159718399113711151963" ref="BP94:BQ112" totalsRowShown="0" headerRowDxfId="189">
  <tableColumns count="2">
    <tableColumn id="1" name="Despesas"/>
    <tableColumn id="2" name="Valor " dataDxfId="188"/>
  </tableColumns>
  <tableStyleInfo name="TableStyleLight19" showFirstColumn="0" showLastColumn="0" showRowStripes="1" showColumnStripes="0"/>
</table>
</file>

<file path=xl/tables/table95.xml><?xml version="1.0" encoding="utf-8"?>
<table xmlns="http://schemas.openxmlformats.org/spreadsheetml/2006/main" id="63" name="Table26912142030405470829811261014182264" displayName="Table26912142030405470829811261014182264" ref="BH117:BO135" totalsRowShown="0" headerRowDxfId="187" dataDxfId="186">
  <sortState ref="BH118:BO135">
    <sortCondition ref="BH118"/>
  </sortState>
  <tableColumns count="8">
    <tableColumn id="1" name="Data" dataDxfId="185" totalsRowDxfId="184"/>
    <tableColumn id="2" name="KM Inicial" dataDxfId="183"/>
    <tableColumn id="3" name="KM Final" dataDxfId="182"/>
    <tableColumn id="4" name="KM Rodado" dataDxfId="181">
      <calculatedColumnFormula>Table26912142030405470829811261014182264[[#This Row],[KM Final]]-Table26912142030405470829811261014182264[[#This Row],[KM Inicial]]</calculatedColumnFormula>
    </tableColumn>
    <tableColumn id="5" name="Consumo Lt" dataDxfId="180"/>
    <tableColumn id="6" name="Média" dataDxfId="179">
      <calculatedColumnFormula>Table26912142030405470829811261014182264[[#This Row],[KM Rodado]]/Table26912142030405470829811261014182264[[#This Row],[Consumo Lt]]</calculatedColumnFormula>
    </tableColumn>
    <tableColumn id="8" name="ARLA/L" dataDxfId="178"/>
    <tableColumn id="7" name="Valor " dataDxfId="177" totalsRowDxfId="176" dataCellStyle="Moeda"/>
  </tableColumns>
  <tableStyleInfo name="TableStyleLight21" showFirstColumn="0" showLastColumn="0" showRowStripes="1" showColumnStripes="0"/>
</table>
</file>

<file path=xl/tables/table96.xml><?xml version="1.0" encoding="utf-8"?>
<table xmlns="http://schemas.openxmlformats.org/spreadsheetml/2006/main" id="64" name="Table371013152131415971839911371115192365" displayName="Table371013152131415971839911371115192365" ref="BP117:BQ135" totalsRowShown="0" headerRowDxfId="175">
  <tableColumns count="2">
    <tableColumn id="1" name="Despesas"/>
    <tableColumn id="2" name="Valor " dataDxfId="174"/>
  </tableColumns>
  <tableStyleInfo name="TableStyleLight19" showFirstColumn="0" showLastColumn="0" showRowStripes="1" showColumnStripes="0"/>
</table>
</file>

<file path=xl/tables/table97.xml><?xml version="1.0" encoding="utf-8"?>
<table xmlns="http://schemas.openxmlformats.org/spreadsheetml/2006/main" id="82" name="Table37101315213141597183991137111519232783" displayName="Table37101315213141597183991137111519232783" ref="BP139:BQ157" totalsRowShown="0" headerRowDxfId="173">
  <tableColumns count="2">
    <tableColumn id="1" name="Despesas"/>
    <tableColumn id="2" name="Valor " dataDxfId="172"/>
  </tableColumns>
  <tableStyleInfo name="TableStyleLight19" showFirstColumn="0" showLastColumn="0" showRowStripes="1" showColumnStripes="0"/>
</table>
</file>

<file path=xl/tables/table98.xml><?xml version="1.0" encoding="utf-8"?>
<table xmlns="http://schemas.openxmlformats.org/spreadsheetml/2006/main" id="83" name="Table269121420304054708298112610141822263084" displayName="Table269121420304054708298112610141822263084" ref="BH166:BO184" totalsRowShown="0" headerRowDxfId="171" dataDxfId="170">
  <sortState ref="BH169:BO186">
    <sortCondition ref="BH162"/>
  </sortState>
  <tableColumns count="8">
    <tableColumn id="1" name="Data" dataDxfId="169"/>
    <tableColumn id="2" name="KM Inicial" dataDxfId="168">
      <calculatedColumnFormula>BJ166</calculatedColumnFormula>
    </tableColumn>
    <tableColumn id="3" name="KM Final" dataDxfId="167"/>
    <tableColumn id="4" name="KM Rodado" dataDxfId="166">
      <calculatedColumnFormula>Table269121420304054708298112610141822263084[[#This Row],[KM Final]]-Table269121420304054708298112610141822263084[[#This Row],[KM Inicial]]</calculatedColumnFormula>
    </tableColumn>
    <tableColumn id="5" name="Consumo Lt" dataDxfId="165"/>
    <tableColumn id="6" name="Média" dataDxfId="164">
      <calculatedColumnFormula>Table269121420304054708298112610141822263084[[#This Row],[KM Rodado]]/Table269121420304054708298112610141822263084[[#This Row],[Consumo Lt]]</calculatedColumnFormula>
    </tableColumn>
    <tableColumn id="8" name="ARLA/L" dataDxfId="163"/>
    <tableColumn id="7" name="Valor " dataDxfId="162" dataCellStyle="Moeda"/>
  </tableColumns>
  <tableStyleInfo name="TableStyleLight21" showFirstColumn="0" showLastColumn="0" showRowStripes="1" showColumnStripes="0"/>
</table>
</file>

<file path=xl/tables/table99.xml><?xml version="1.0" encoding="utf-8"?>
<table xmlns="http://schemas.openxmlformats.org/spreadsheetml/2006/main" id="84" name="Table3710131521314159718399113711151923273185" displayName="Table3710131521314159718399113711151923273185" ref="BP166:BQ184" totalsRowShown="0" headerRowDxfId="161">
  <tableColumns count="2">
    <tableColumn id="1" name="Despesas"/>
    <tableColumn id="2" name="Valor " dataDxfId="160"/>
  </tableColumns>
  <tableStyleInfo name="TableStyleLight19" showFirstColumn="0" showLastColumn="0" showRowStripes="1" showColumnStripes="0"/>
</table>
</file>

<file path=xl/tables/table100.xml><?xml version="1.0" encoding="utf-8"?>
<table xmlns="http://schemas.openxmlformats.org/spreadsheetml/2006/main" id="89" name="Table269121420304054708298112610141822263090" displayName="Table269121420304054708298112610141822263090" ref="BH188:BO206" totalsRowShown="0" headerRowDxfId="159">
  <sortState ref="BH191:BO208">
    <sortCondition ref="BH162"/>
  </sortState>
  <tableColumns count="8">
    <tableColumn id="1" name="Data" dataDxfId="158"/>
    <tableColumn id="2" name="KM Inicial" dataDxfId="157"/>
    <tableColumn id="3" name="KM Final" dataDxfId="156"/>
    <tableColumn id="4" name="KM Rodado" dataDxfId="155">
      <calculatedColumnFormula>BJ188-BI172</calculatedColumnFormula>
    </tableColumn>
    <tableColumn id="5" name="Consumo Lt" dataDxfId="154"/>
    <tableColumn id="6" name="Média" dataDxfId="153">
      <calculatedColumnFormula>Table269121420304054708298112610141822263090[[#This Row],[KM Rodado]]/Table269121420304054708298112610141822263090[[#This Row],[Consumo Lt]]</calculatedColumnFormula>
    </tableColumn>
    <tableColumn id="8" name="ARLA/L" dataDxfId="152"/>
    <tableColumn id="7" name="Valor " dataDxfId="151" dataCellStyle="Moeda"/>
  </tableColumns>
  <tableStyleInfo name="TableStyleLight21" showFirstColumn="0" showLastColumn="0" showRowStripes="1" showColumnStripes="0"/>
</table>
</file>

<file path=xl/tables/table101.xml><?xml version="1.0" encoding="utf-8"?>
<table xmlns="http://schemas.openxmlformats.org/spreadsheetml/2006/main" id="90" name="Table3710131521314159718399113711151923273191" displayName="Table3710131521314159718399113711151923273191" ref="BP188:BQ206" totalsRowShown="0" headerRowDxfId="150">
  <tableColumns count="2">
    <tableColumn id="1" name="Despesas"/>
    <tableColumn id="2" name="Valor " dataDxfId="149"/>
  </tableColumns>
  <tableStyleInfo name="TableStyleLight19" showFirstColumn="0" showLastColumn="0" showRowStripes="1" showColumnStripes="0"/>
</table>
</file>

<file path=xl/tables/table102.xml><?xml version="1.0" encoding="utf-8"?>
<table xmlns="http://schemas.openxmlformats.org/spreadsheetml/2006/main" id="93" name="Table269121420304054708298112610141822263094" displayName="Table269121420304054708298112610141822263094" ref="BH209:BO227" totalsRowShown="0" headerRowDxfId="148" dataDxfId="147">
  <sortState ref="BH210:BO227">
    <sortCondition ref="BH210"/>
  </sortState>
  <tableColumns count="8">
    <tableColumn id="1" name="Data" dataDxfId="146"/>
    <tableColumn id="2" name="KM Inicial" dataDxfId="145">
      <calculatedColumnFormula>BJ209</calculatedColumnFormula>
    </tableColumn>
    <tableColumn id="3" name="KM Final" dataDxfId="144"/>
    <tableColumn id="4" name="KM Rodado" dataDxfId="143">
      <calculatedColumnFormula>Table269121420304054708298112610141822263094[[#This Row],[KM Final]]-Table269121420304054708298112610141822263094[[#This Row],[KM Inicial]]</calculatedColumnFormula>
    </tableColumn>
    <tableColumn id="5" name="Consumo Lt" dataDxfId="142"/>
    <tableColumn id="6" name="Média" dataDxfId="2">
      <calculatedColumnFormula>Table269121420304054708298112610141822263094[[#This Row],[KM Rodado]]/Table269121420304054708298112610141822263094[[#This Row],[Consumo Lt]]</calculatedColumnFormula>
    </tableColumn>
    <tableColumn id="8" name="ARLA/L" dataDxfId="0"/>
    <tableColumn id="7" name="Valor " dataDxfId="1" dataCellStyle="Moeda"/>
  </tableColumns>
  <tableStyleInfo name="TableStyleLight21" showFirstColumn="0" showLastColumn="0" showRowStripes="1" showColumnStripes="0"/>
</table>
</file>

<file path=xl/tables/table103.xml><?xml version="1.0" encoding="utf-8"?>
<table xmlns="http://schemas.openxmlformats.org/spreadsheetml/2006/main" id="94" name="Table3710131521314159718399113711151923273195" displayName="Table3710131521314159718399113711151923273195" ref="BP209:BQ227" totalsRowShown="0" headerRowDxfId="141">
  <tableColumns count="2">
    <tableColumn id="1" name="Despesas"/>
    <tableColumn id="2" name="Valor " dataDxfId="140"/>
  </tableColumns>
  <tableStyleInfo name="TableStyleLight19" showFirstColumn="0" showLastColumn="0" showRowStripes="1" showColumnStripes="0"/>
</table>
</file>

<file path=xl/tables/table104.xml><?xml version="1.0" encoding="utf-8"?>
<table xmlns="http://schemas.openxmlformats.org/spreadsheetml/2006/main" id="81" name="Table2691214203040547082981126101418222682" displayName="Table2691214203040547082981126101418222682" ref="BH139:BO161" totalsRowShown="0" headerRowDxfId="139" dataDxfId="138">
  <sortState ref="BH140:BO157">
    <sortCondition ref="BH140"/>
  </sortState>
  <tableColumns count="8">
    <tableColumn id="1" name="Data" dataDxfId="137"/>
    <tableColumn id="2" name="KM Inicial" dataDxfId="136">
      <calculatedColumnFormula>BJ139</calculatedColumnFormula>
    </tableColumn>
    <tableColumn id="3" name="KM Final" dataDxfId="135"/>
    <tableColumn id="4" name="KM Rodado" dataDxfId="134">
      <calculatedColumnFormula>Table2691214203040547082981126101418222682[[#This Row],[KM Final]]-Table2691214203040547082981126101418222682[[#This Row],[KM Inicial]]</calculatedColumnFormula>
    </tableColumn>
    <tableColumn id="5" name="Consumo Lt" dataDxfId="133"/>
    <tableColumn id="6" name="Média" dataDxfId="132">
      <calculatedColumnFormula>Table2691214203040547082981126101418222682[[#This Row],[KM Rodado]]/Table2691214203040547082981126101418222682[[#This Row],[Consumo Lt]]</calculatedColumnFormula>
    </tableColumn>
    <tableColumn id="8" name="ARLA/L" dataDxfId="131"/>
    <tableColumn id="7" name="Valor " dataDxfId="130" dataCellStyle="Moeda"/>
  </tableColumns>
  <tableStyleInfo name="TableStyleLight21" showFirstColumn="0" showLastColumn="0" showRowStripes="1" showColumnStripes="0"/>
</table>
</file>

<file path=xl/tables/table105.xml><?xml version="1.0" encoding="utf-8"?>
<table xmlns="http://schemas.openxmlformats.org/spreadsheetml/2006/main" id="113" name="Table269121420304054708298112114" displayName="Table269121420304054708298112114" ref="B2:I20" totalsRowShown="0" headerRowDxfId="129" dataDxfId="128">
  <tableColumns count="8">
    <tableColumn id="1" name="Data" dataDxfId="127"/>
    <tableColumn id="2" name="KM Inicial" dataDxfId="126"/>
    <tableColumn id="3" name="KM Final" dataDxfId="125"/>
    <tableColumn id="4" name="KM Rodado" dataDxfId="124"/>
    <tableColumn id="5" name="Consumo Lt" dataDxfId="123"/>
    <tableColumn id="6" name="Média" dataDxfId="122"/>
    <tableColumn id="9" name="ARLA/L" dataDxfId="121"/>
    <tableColumn id="7" name="Valor " dataDxfId="120" dataCellStyle="Moeda"/>
  </tableColumns>
  <tableStyleInfo name="TableStyleLight21" showFirstColumn="0" showLastColumn="0" showRowStripes="1" showColumnStripes="0"/>
</table>
</file>

<file path=xl/tables/table106.xml><?xml version="1.0" encoding="utf-8"?>
<table xmlns="http://schemas.openxmlformats.org/spreadsheetml/2006/main" id="114" name="Table3710131521314159718399113115" displayName="Table3710131521314159718399113115" ref="J2:K20" totalsRowShown="0" headerRowDxfId="119">
  <tableColumns count="2">
    <tableColumn id="1" name="Despesas"/>
    <tableColumn id="2" name="Valor " dataDxfId="118"/>
  </tableColumns>
  <tableStyleInfo name="TableStyleLight19" showFirstColumn="0" showLastColumn="0" showRowStripes="1" showColumnStripes="0"/>
</table>
</file>

<file path=xl/tables/table107.xml><?xml version="1.0" encoding="utf-8"?>
<table xmlns="http://schemas.openxmlformats.org/spreadsheetml/2006/main" id="115" name="Table269121420304054708298112116" displayName="Table269121420304054708298112116" ref="B24:I42" totalsRowShown="0" headerRowDxfId="117" dataDxfId="116">
  <tableColumns count="8">
    <tableColumn id="1" name="Data" dataDxfId="115"/>
    <tableColumn id="2" name="KM Inicial" dataDxfId="114"/>
    <tableColumn id="3" name="KM Final" dataDxfId="113"/>
    <tableColumn id="4" name="KM Rodado" dataDxfId="112"/>
    <tableColumn id="5" name="Consumo Lt" dataDxfId="111"/>
    <tableColumn id="6" name="Média" dataDxfId="110"/>
    <tableColumn id="9" name="ARLA/L" dataDxfId="109"/>
    <tableColumn id="7" name="Valor " dataDxfId="108" dataCellStyle="Moeda"/>
  </tableColumns>
  <tableStyleInfo name="TableStyleLight21" showFirstColumn="0" showLastColumn="0" showRowStripes="1" showColumnStripes="0"/>
</table>
</file>

<file path=xl/tables/table108.xml><?xml version="1.0" encoding="utf-8"?>
<table xmlns="http://schemas.openxmlformats.org/spreadsheetml/2006/main" id="116" name="Table3710131521314159718399113117" displayName="Table3710131521314159718399113117" ref="J24:K42" totalsRowShown="0" headerRowDxfId="107">
  <tableColumns count="2">
    <tableColumn id="1" name="Despesas"/>
    <tableColumn id="2" name="Valor " dataDxfId="106"/>
  </tableColumns>
  <tableStyleInfo name="TableStyleLight19" showFirstColumn="0" showLastColumn="0" showRowStripes="1" showColumnStripes="0"/>
</table>
</file>

<file path=xl/tables/table109.xml><?xml version="1.0" encoding="utf-8"?>
<table xmlns="http://schemas.openxmlformats.org/spreadsheetml/2006/main" id="117" name="Table269121420304054708298112610118" displayName="Table269121420304054708298112610118" ref="B46:I64" totalsRowShown="0" headerRowDxfId="105" dataDxfId="104">
  <tableColumns count="8">
    <tableColumn id="1" name="Data" dataDxfId="103"/>
    <tableColumn id="2" name="KM Inicial" dataDxfId="102"/>
    <tableColumn id="3" name="KM Final" dataDxfId="101"/>
    <tableColumn id="4" name="KM Rodado" dataDxfId="100"/>
    <tableColumn id="5" name="Consumo Lt" dataDxfId="99"/>
    <tableColumn id="6" name="Média" dataDxfId="98"/>
    <tableColumn id="8" name="ARLA/L" dataDxfId="97"/>
    <tableColumn id="7" name="Valor " dataDxfId="96" dataCellStyle="Moeda"/>
  </tableColumns>
  <tableStyleInfo name="TableStyleLight21" showFirstColumn="0" showLastColumn="0" showRowStripes="1" showColumnStripes="0"/>
</table>
</file>

<file path=xl/tables/table110.xml><?xml version="1.0" encoding="utf-8"?>
<table xmlns="http://schemas.openxmlformats.org/spreadsheetml/2006/main" id="118" name="Table3710131521314159718399113711119" displayName="Table3710131521314159718399113711119" ref="J46:K64" totalsRowShown="0" headerRowDxfId="95">
  <tableColumns count="2">
    <tableColumn id="1" name="Despesas"/>
    <tableColumn id="2" name="Valor " dataDxfId="94"/>
  </tableColumns>
  <tableStyleInfo name="TableStyleLight19" showFirstColumn="0" showLastColumn="0" showRowStripes="1" showColumnStripes="0"/>
</table>
</file>

<file path=xl/tables/table111.xml><?xml version="1.0" encoding="utf-8"?>
<table xmlns="http://schemas.openxmlformats.org/spreadsheetml/2006/main" id="121" name="Table26912142030405470829811261014122" displayName="Table26912142030405470829811261014122" ref="B68:I86" totalsRowShown="0" headerRowDxfId="93" dataDxfId="92">
  <tableColumns count="8">
    <tableColumn id="1" name="Data" dataDxfId="91"/>
    <tableColumn id="2" name="KM Inicial" dataDxfId="90"/>
    <tableColumn id="3" name="KM Final" dataDxfId="89"/>
    <tableColumn id="4" name="KM Rodado" dataDxfId="88"/>
    <tableColumn id="5" name="Consumo Lt" dataDxfId="87"/>
    <tableColumn id="6" name="Média" dataDxfId="86"/>
    <tableColumn id="9" name="ARLA/L" dataDxfId="85"/>
    <tableColumn id="7" name="Valor " dataDxfId="84" dataCellStyle="Moeda"/>
  </tableColumns>
  <tableStyleInfo name="TableStyleLight21" showFirstColumn="0" showLastColumn="0" showRowStripes="1" showColumnStripes="0"/>
</table>
</file>

<file path=xl/tables/table112.xml><?xml version="1.0" encoding="utf-8"?>
<table xmlns="http://schemas.openxmlformats.org/spreadsheetml/2006/main" id="122" name="Table371013152131415971839911371115123" displayName="Table371013152131415971839911371115123" ref="J68:K86" totalsRowShown="0" headerRowDxfId="83">
  <tableColumns count="2">
    <tableColumn id="1" name="Despesas"/>
    <tableColumn id="2" name="Valor " dataDxfId="82"/>
  </tableColumns>
  <tableStyleInfo name="TableStyleLight19" showFirstColumn="0" showLastColumn="0" showRowStripes="1" showColumnStripes="0"/>
</table>
</file>

<file path=xl/tables/table113.xml><?xml version="1.0" encoding="utf-8"?>
<table xmlns="http://schemas.openxmlformats.org/spreadsheetml/2006/main" id="123" name="Table2691214203040547082981126101418124" displayName="Table2691214203040547082981126101418124" ref="B90:I108" totalsRowShown="0" headerRowDxfId="81" dataDxfId="80">
  <tableColumns count="8">
    <tableColumn id="1" name="Data" dataDxfId="79"/>
    <tableColumn id="2" name="KM Inicial" dataDxfId="78"/>
    <tableColumn id="3" name="KM Final" dataDxfId="77"/>
    <tableColumn id="4" name="KM Rodado" dataDxfId="76"/>
    <tableColumn id="5" name="Consumo Lt" dataDxfId="75"/>
    <tableColumn id="6" name="Média" dataDxfId="74"/>
    <tableColumn id="8" name="ARLA/L" dataDxfId="73"/>
    <tableColumn id="7" name="Valor " dataDxfId="72" dataCellStyle="Moeda"/>
  </tableColumns>
  <tableStyleInfo name="TableStyleLight21" showFirstColumn="0" showLastColumn="0" showRowStripes="1" showColumnStripes="0"/>
</table>
</file>

<file path=xl/tables/table114.xml><?xml version="1.0" encoding="utf-8"?>
<table xmlns="http://schemas.openxmlformats.org/spreadsheetml/2006/main" id="124" name="Table37101315213141597183991137111519125" displayName="Table37101315213141597183991137111519125" ref="J90:K108" totalsRowShown="0" headerRowDxfId="71">
  <tableColumns count="2">
    <tableColumn id="1" name="Despesas"/>
    <tableColumn id="2" name="Valor " dataDxfId="70"/>
  </tableColumns>
  <tableStyleInfo name="TableStyleLight19" showFirstColumn="0" showLastColumn="0" showRowStripes="1" showColumnStripes="0"/>
</table>
</file>

<file path=xl/tables/table115.xml><?xml version="1.0" encoding="utf-8"?>
<table xmlns="http://schemas.openxmlformats.org/spreadsheetml/2006/main" id="125" name="Table269121420304054708298112610141822126" displayName="Table269121420304054708298112610141822126" ref="B112:I130" totalsRowShown="0" headerRowDxfId="69" dataDxfId="68">
  <tableColumns count="8">
    <tableColumn id="1" name="Data" dataDxfId="67" totalsRowDxfId="66"/>
    <tableColumn id="2" name="KM Inicial" dataDxfId="65" totalsRowDxfId="64"/>
    <tableColumn id="3" name="KM Final" dataDxfId="63" totalsRowDxfId="62"/>
    <tableColumn id="4" name="KM Rodado" dataDxfId="61" totalsRowDxfId="60"/>
    <tableColumn id="5" name="Consumo Lt" dataDxfId="59" totalsRowDxfId="58"/>
    <tableColumn id="6" name="Média" dataDxfId="57" totalsRowDxfId="56"/>
    <tableColumn id="8" name="ARLA/L" dataDxfId="55" totalsRowDxfId="54"/>
    <tableColumn id="7" name="Valor " dataDxfId="53" totalsRowDxfId="52" dataCellStyle="Moeda"/>
  </tableColumns>
  <tableStyleInfo name="TableStyleLight21" showFirstColumn="0" showLastColumn="0" showRowStripes="1" showColumnStripes="0"/>
</table>
</file>

<file path=xl/tables/table116.xml><?xml version="1.0" encoding="utf-8"?>
<table xmlns="http://schemas.openxmlformats.org/spreadsheetml/2006/main" id="126" name="Table3710131521314159718399113711151923127" displayName="Table3710131521314159718399113711151923127" ref="J112:K130" totalsRowShown="0" headerRowDxfId="51">
  <tableColumns count="2">
    <tableColumn id="1" name="Despesas"/>
    <tableColumn id="2" name="Valor " dataDxfId="50"/>
  </tableColumns>
  <tableStyleInfo name="TableStyleLight19" showFirstColumn="0" showLastColumn="0" showRowStripes="1" showColumnStripes="0"/>
</table>
</file>

<file path=xl/tables/table117.xml><?xml version="1.0" encoding="utf-8"?>
<table xmlns="http://schemas.openxmlformats.org/spreadsheetml/2006/main" id="127" name="Table26912142030405470829811261014182226128" displayName="Table26912142030405470829811261014182226128" ref="B134:I152" totalsRowShown="0" headerRowDxfId="49" dataDxfId="48">
  <sortState ref="B135:I152">
    <sortCondition ref="B140"/>
  </sortState>
  <tableColumns count="8">
    <tableColumn id="1" name="Data" dataDxfId="47"/>
    <tableColumn id="2" name="KM Inicial" dataDxfId="46"/>
    <tableColumn id="3" name="KM Final" dataDxfId="45"/>
    <tableColumn id="4" name="KM Rodado" dataDxfId="44"/>
    <tableColumn id="5" name="Consumo Lt" dataDxfId="43"/>
    <tableColumn id="6" name="Média" dataDxfId="42"/>
    <tableColumn id="8" name="ARLA/L" dataDxfId="41"/>
    <tableColumn id="7" name="Valor " dataDxfId="40" dataCellStyle="Moeda"/>
  </tableColumns>
  <tableStyleInfo name="TableStyleLight21" showFirstColumn="0" showLastColumn="0" showRowStripes="1" showColumnStripes="0"/>
</table>
</file>

<file path=xl/tables/table118.xml><?xml version="1.0" encoding="utf-8"?>
<table xmlns="http://schemas.openxmlformats.org/spreadsheetml/2006/main" id="128" name="Table371013152131415971839911371115192327129" displayName="Table371013152131415971839911371115192327129" ref="J134:K152" totalsRowShown="0" headerRowDxfId="39">
  <tableColumns count="2">
    <tableColumn id="1" name="Despesas"/>
    <tableColumn id="2" name="Valor " dataDxfId="38"/>
  </tableColumns>
  <tableStyleInfo name="TableStyleLight19" showFirstColumn="0" showLastColumn="0" showRowStripes="1" showColumnStripes="0"/>
</table>
</file>

<file path=xl/tables/table119.xml><?xml version="1.0" encoding="utf-8"?>
<table xmlns="http://schemas.openxmlformats.org/spreadsheetml/2006/main" id="145" name="Table2691214203040547082981126101418222630146" displayName="Table2691214203040547082981126101418222630146" ref="B156:I174" totalsRowShown="0" headerRowDxfId="37" dataDxfId="36">
  <sortState ref="B157:I174">
    <sortCondition ref="B162"/>
  </sortState>
  <tableColumns count="8">
    <tableColumn id="1" name="Data" dataDxfId="35"/>
    <tableColumn id="2" name="KM Inicial" dataDxfId="34"/>
    <tableColumn id="3" name="KM Final" dataDxfId="33"/>
    <tableColumn id="4" name="KM Rodado" dataDxfId="32"/>
    <tableColumn id="5" name="Consumo Lt" dataDxfId="31"/>
    <tableColumn id="6" name="Média" dataDxfId="30"/>
    <tableColumn id="8" name="ARLA/L" dataDxfId="29"/>
    <tableColumn id="7" name="Valor " dataDxfId="28" dataCellStyle="Moeda"/>
  </tableColumns>
  <tableStyleInfo name="TableStyleLight21" showFirstColumn="0" showLastColumn="0" showRowStripes="1" showColumnStripes="0"/>
</table>
</file>

<file path=xl/tables/table120.xml><?xml version="1.0" encoding="utf-8"?>
<table xmlns="http://schemas.openxmlformats.org/spreadsheetml/2006/main" id="146" name="Table37101315213141597183991137111519232731147" displayName="Table37101315213141597183991137111519232731147" ref="J156:K174" totalsRowShown="0" headerRowDxfId="27">
  <tableColumns count="2">
    <tableColumn id="1" name="Despesas"/>
    <tableColumn id="2" name="Valor " dataDxfId="26"/>
  </tableColumns>
  <tableStyleInfo name="TableStyleLight19" showFirstColumn="0" showLastColumn="0" showRowStripes="1" showColumnStripes="0"/>
</table>
</file>

<file path=xl/tables/table121.xml><?xml version="1.0" encoding="utf-8"?>
<table xmlns="http://schemas.openxmlformats.org/spreadsheetml/2006/main" id="147" name="Table269121420304054708298112610141822263090148" displayName="Table269121420304054708298112610141822263090148" ref="B178:I196" totalsRowShown="0" headerRowDxfId="25">
  <sortState ref="B179:I196">
    <sortCondition ref="B162"/>
  </sortState>
  <tableColumns count="8">
    <tableColumn id="1" name="Data" dataDxfId="24"/>
    <tableColumn id="2" name="KM Inicial" dataDxfId="23"/>
    <tableColumn id="3" name="KM Final" dataDxfId="22"/>
    <tableColumn id="4" name="KM Rodado" dataDxfId="21"/>
    <tableColumn id="5" name="Consumo Lt" dataDxfId="20"/>
    <tableColumn id="6" name="Média" dataDxfId="19"/>
    <tableColumn id="8" name="ARLA/L" dataDxfId="18"/>
    <tableColumn id="7" name="Valor " dataDxfId="17" dataCellStyle="Moeda"/>
  </tableColumns>
  <tableStyleInfo name="TableStyleLight21" showFirstColumn="0" showLastColumn="0" showRowStripes="1" showColumnStripes="0"/>
</table>
</file>

<file path=xl/tables/table122.xml><?xml version="1.0" encoding="utf-8"?>
<table xmlns="http://schemas.openxmlformats.org/spreadsheetml/2006/main" id="148" name="Table3710131521314159718399113711151923273191149" displayName="Table3710131521314159718399113711151923273191149" ref="J178:K196" totalsRowShown="0" headerRowDxfId="16">
  <tableColumns count="2">
    <tableColumn id="1" name="Despesas"/>
    <tableColumn id="2" name="Valor " dataDxfId="15"/>
  </tableColumns>
  <tableStyleInfo name="TableStyleLight19" showFirstColumn="0" showLastColumn="0" showRowStripes="1" showColumnStripes="0"/>
</table>
</file>

<file path=xl/tables/table123.xml><?xml version="1.0" encoding="utf-8"?>
<table xmlns="http://schemas.openxmlformats.org/spreadsheetml/2006/main" id="149" name="Table269121420304054708298112610141822263094150" displayName="Table269121420304054708298112610141822263094150" ref="B200:I218" totalsRowShown="0" headerRowDxfId="14" dataDxfId="13">
  <sortState ref="B201:I218">
    <sortCondition ref="B162"/>
  </sortState>
  <tableColumns count="8">
    <tableColumn id="1" name="Data" dataDxfId="12"/>
    <tableColumn id="2" name="KM Inicial" dataDxfId="11">
      <calculatedColumnFormula>D200</calculatedColumnFormula>
    </tableColumn>
    <tableColumn id="3" name="KM Final" dataDxfId="10"/>
    <tableColumn id="4" name="KM Rodado" dataDxfId="9"/>
    <tableColumn id="5" name="Consumo Lt" dataDxfId="8"/>
    <tableColumn id="6" name="Média" dataDxfId="7"/>
    <tableColumn id="8" name="ARLA/L" dataDxfId="6"/>
    <tableColumn id="7" name="Valor " dataDxfId="5" dataCellStyle="Moeda"/>
  </tableColumns>
  <tableStyleInfo name="TableStyleLight21" showFirstColumn="0" showLastColumn="0" showRowStripes="1" showColumnStripes="0"/>
</table>
</file>

<file path=xl/tables/table124.xml><?xml version="1.0" encoding="utf-8"?>
<table xmlns="http://schemas.openxmlformats.org/spreadsheetml/2006/main" id="150" name="Table3710131521314159718399113711151923273195151" displayName="Table3710131521314159718399113711151923273195151" ref="J200:K218" totalsRowShown="0" headerRowDxfId="4">
  <tableColumns count="2">
    <tableColumn id="1" name="Despesas"/>
    <tableColumn id="2" name="Valor " dataDxfId="3"/>
  </tableColumns>
  <tableStyleInfo name="TableStyleLight1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table" Target="../tables/table25.xml"/><Relationship Id="rId21" Type="http://schemas.openxmlformats.org/officeDocument/2006/relationships/table" Target="../tables/table20.xml"/><Relationship Id="rId42" Type="http://schemas.openxmlformats.org/officeDocument/2006/relationships/table" Target="../tables/table41.xml"/><Relationship Id="rId47" Type="http://schemas.openxmlformats.org/officeDocument/2006/relationships/table" Target="../tables/table46.xml"/><Relationship Id="rId63" Type="http://schemas.openxmlformats.org/officeDocument/2006/relationships/table" Target="../tables/table62.xml"/><Relationship Id="rId68" Type="http://schemas.openxmlformats.org/officeDocument/2006/relationships/table" Target="../tables/table67.xml"/><Relationship Id="rId84" Type="http://schemas.openxmlformats.org/officeDocument/2006/relationships/table" Target="../tables/table83.xml"/><Relationship Id="rId89" Type="http://schemas.openxmlformats.org/officeDocument/2006/relationships/table" Target="../tables/table88.xml"/><Relationship Id="rId16" Type="http://schemas.openxmlformats.org/officeDocument/2006/relationships/table" Target="../tables/table15.xml"/><Relationship Id="rId11" Type="http://schemas.openxmlformats.org/officeDocument/2006/relationships/table" Target="../tables/table10.xml"/><Relationship Id="rId32" Type="http://schemas.openxmlformats.org/officeDocument/2006/relationships/table" Target="../tables/table31.xml"/><Relationship Id="rId37" Type="http://schemas.openxmlformats.org/officeDocument/2006/relationships/table" Target="../tables/table36.xml"/><Relationship Id="rId53" Type="http://schemas.openxmlformats.org/officeDocument/2006/relationships/table" Target="../tables/table52.xml"/><Relationship Id="rId58" Type="http://schemas.openxmlformats.org/officeDocument/2006/relationships/table" Target="../tables/table57.xml"/><Relationship Id="rId74" Type="http://schemas.openxmlformats.org/officeDocument/2006/relationships/table" Target="../tables/table73.xml"/><Relationship Id="rId79" Type="http://schemas.openxmlformats.org/officeDocument/2006/relationships/table" Target="../tables/table78.xml"/><Relationship Id="rId102" Type="http://schemas.openxmlformats.org/officeDocument/2006/relationships/table" Target="../tables/table101.xml"/><Relationship Id="rId5" Type="http://schemas.openxmlformats.org/officeDocument/2006/relationships/table" Target="../tables/table4.xml"/><Relationship Id="rId90" Type="http://schemas.openxmlformats.org/officeDocument/2006/relationships/table" Target="../tables/table89.xml"/><Relationship Id="rId95" Type="http://schemas.openxmlformats.org/officeDocument/2006/relationships/table" Target="../tables/table94.xml"/><Relationship Id="rId22" Type="http://schemas.openxmlformats.org/officeDocument/2006/relationships/table" Target="../tables/table21.xml"/><Relationship Id="rId27" Type="http://schemas.openxmlformats.org/officeDocument/2006/relationships/table" Target="../tables/table26.xml"/><Relationship Id="rId43" Type="http://schemas.openxmlformats.org/officeDocument/2006/relationships/table" Target="../tables/table42.xml"/><Relationship Id="rId48" Type="http://schemas.openxmlformats.org/officeDocument/2006/relationships/table" Target="../tables/table47.xml"/><Relationship Id="rId64" Type="http://schemas.openxmlformats.org/officeDocument/2006/relationships/table" Target="../tables/table63.xml"/><Relationship Id="rId69" Type="http://schemas.openxmlformats.org/officeDocument/2006/relationships/table" Target="../tables/table68.xml"/><Relationship Id="rId80" Type="http://schemas.openxmlformats.org/officeDocument/2006/relationships/table" Target="../tables/table79.xml"/><Relationship Id="rId85" Type="http://schemas.openxmlformats.org/officeDocument/2006/relationships/table" Target="../tables/table84.xml"/><Relationship Id="rId12" Type="http://schemas.openxmlformats.org/officeDocument/2006/relationships/table" Target="../tables/table11.xml"/><Relationship Id="rId17" Type="http://schemas.openxmlformats.org/officeDocument/2006/relationships/table" Target="../tables/table16.xml"/><Relationship Id="rId33" Type="http://schemas.openxmlformats.org/officeDocument/2006/relationships/table" Target="../tables/table32.xml"/><Relationship Id="rId38" Type="http://schemas.openxmlformats.org/officeDocument/2006/relationships/table" Target="../tables/table37.xml"/><Relationship Id="rId59" Type="http://schemas.openxmlformats.org/officeDocument/2006/relationships/table" Target="../tables/table58.xml"/><Relationship Id="rId103" Type="http://schemas.openxmlformats.org/officeDocument/2006/relationships/table" Target="../tables/table102.xml"/><Relationship Id="rId20" Type="http://schemas.openxmlformats.org/officeDocument/2006/relationships/table" Target="../tables/table19.xml"/><Relationship Id="rId41" Type="http://schemas.openxmlformats.org/officeDocument/2006/relationships/table" Target="../tables/table40.xml"/><Relationship Id="rId54" Type="http://schemas.openxmlformats.org/officeDocument/2006/relationships/table" Target="../tables/table53.xml"/><Relationship Id="rId62" Type="http://schemas.openxmlformats.org/officeDocument/2006/relationships/table" Target="../tables/table61.xml"/><Relationship Id="rId70" Type="http://schemas.openxmlformats.org/officeDocument/2006/relationships/table" Target="../tables/table69.xml"/><Relationship Id="rId75" Type="http://schemas.openxmlformats.org/officeDocument/2006/relationships/table" Target="../tables/table74.xml"/><Relationship Id="rId83" Type="http://schemas.openxmlformats.org/officeDocument/2006/relationships/table" Target="../tables/table82.xml"/><Relationship Id="rId88" Type="http://schemas.openxmlformats.org/officeDocument/2006/relationships/table" Target="../tables/table87.xml"/><Relationship Id="rId91" Type="http://schemas.openxmlformats.org/officeDocument/2006/relationships/table" Target="../tables/table90.xml"/><Relationship Id="rId96" Type="http://schemas.openxmlformats.org/officeDocument/2006/relationships/table" Target="../tables/table95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15" Type="http://schemas.openxmlformats.org/officeDocument/2006/relationships/table" Target="../tables/table14.xml"/><Relationship Id="rId23" Type="http://schemas.openxmlformats.org/officeDocument/2006/relationships/table" Target="../tables/table22.xml"/><Relationship Id="rId28" Type="http://schemas.openxmlformats.org/officeDocument/2006/relationships/table" Target="../tables/table27.xml"/><Relationship Id="rId36" Type="http://schemas.openxmlformats.org/officeDocument/2006/relationships/table" Target="../tables/table35.xml"/><Relationship Id="rId49" Type="http://schemas.openxmlformats.org/officeDocument/2006/relationships/table" Target="../tables/table48.xml"/><Relationship Id="rId57" Type="http://schemas.openxmlformats.org/officeDocument/2006/relationships/table" Target="../tables/table56.xml"/><Relationship Id="rId10" Type="http://schemas.openxmlformats.org/officeDocument/2006/relationships/table" Target="../tables/table9.xml"/><Relationship Id="rId31" Type="http://schemas.openxmlformats.org/officeDocument/2006/relationships/table" Target="../tables/table30.xml"/><Relationship Id="rId44" Type="http://schemas.openxmlformats.org/officeDocument/2006/relationships/table" Target="../tables/table43.xml"/><Relationship Id="rId52" Type="http://schemas.openxmlformats.org/officeDocument/2006/relationships/table" Target="../tables/table51.xml"/><Relationship Id="rId60" Type="http://schemas.openxmlformats.org/officeDocument/2006/relationships/table" Target="../tables/table59.xml"/><Relationship Id="rId65" Type="http://schemas.openxmlformats.org/officeDocument/2006/relationships/table" Target="../tables/table64.xml"/><Relationship Id="rId73" Type="http://schemas.openxmlformats.org/officeDocument/2006/relationships/table" Target="../tables/table72.xml"/><Relationship Id="rId78" Type="http://schemas.openxmlformats.org/officeDocument/2006/relationships/table" Target="../tables/table77.xml"/><Relationship Id="rId81" Type="http://schemas.openxmlformats.org/officeDocument/2006/relationships/table" Target="../tables/table80.xml"/><Relationship Id="rId86" Type="http://schemas.openxmlformats.org/officeDocument/2006/relationships/table" Target="../tables/table85.xml"/><Relationship Id="rId94" Type="http://schemas.openxmlformats.org/officeDocument/2006/relationships/table" Target="../tables/table93.xml"/><Relationship Id="rId99" Type="http://schemas.openxmlformats.org/officeDocument/2006/relationships/table" Target="../tables/table98.xml"/><Relationship Id="rId101" Type="http://schemas.openxmlformats.org/officeDocument/2006/relationships/table" Target="../tables/table100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Relationship Id="rId13" Type="http://schemas.openxmlformats.org/officeDocument/2006/relationships/table" Target="../tables/table12.xml"/><Relationship Id="rId18" Type="http://schemas.openxmlformats.org/officeDocument/2006/relationships/table" Target="../tables/table17.xml"/><Relationship Id="rId39" Type="http://schemas.openxmlformats.org/officeDocument/2006/relationships/table" Target="../tables/table38.xml"/><Relationship Id="rId34" Type="http://schemas.openxmlformats.org/officeDocument/2006/relationships/table" Target="../tables/table33.xml"/><Relationship Id="rId50" Type="http://schemas.openxmlformats.org/officeDocument/2006/relationships/table" Target="../tables/table49.xml"/><Relationship Id="rId55" Type="http://schemas.openxmlformats.org/officeDocument/2006/relationships/table" Target="../tables/table54.xml"/><Relationship Id="rId76" Type="http://schemas.openxmlformats.org/officeDocument/2006/relationships/table" Target="../tables/table75.xml"/><Relationship Id="rId97" Type="http://schemas.openxmlformats.org/officeDocument/2006/relationships/table" Target="../tables/table96.xml"/><Relationship Id="rId104" Type="http://schemas.openxmlformats.org/officeDocument/2006/relationships/table" Target="../tables/table103.xml"/><Relationship Id="rId7" Type="http://schemas.openxmlformats.org/officeDocument/2006/relationships/table" Target="../tables/table6.xml"/><Relationship Id="rId71" Type="http://schemas.openxmlformats.org/officeDocument/2006/relationships/table" Target="../tables/table70.xml"/><Relationship Id="rId92" Type="http://schemas.openxmlformats.org/officeDocument/2006/relationships/table" Target="../tables/table91.xml"/><Relationship Id="rId2" Type="http://schemas.openxmlformats.org/officeDocument/2006/relationships/table" Target="../tables/table1.xml"/><Relationship Id="rId29" Type="http://schemas.openxmlformats.org/officeDocument/2006/relationships/table" Target="../tables/table28.xml"/><Relationship Id="rId24" Type="http://schemas.openxmlformats.org/officeDocument/2006/relationships/table" Target="../tables/table23.xml"/><Relationship Id="rId40" Type="http://schemas.openxmlformats.org/officeDocument/2006/relationships/table" Target="../tables/table39.xml"/><Relationship Id="rId45" Type="http://schemas.openxmlformats.org/officeDocument/2006/relationships/table" Target="../tables/table44.xml"/><Relationship Id="rId66" Type="http://schemas.openxmlformats.org/officeDocument/2006/relationships/table" Target="../tables/table65.xml"/><Relationship Id="rId87" Type="http://schemas.openxmlformats.org/officeDocument/2006/relationships/table" Target="../tables/table86.xml"/><Relationship Id="rId61" Type="http://schemas.openxmlformats.org/officeDocument/2006/relationships/table" Target="../tables/table60.xml"/><Relationship Id="rId82" Type="http://schemas.openxmlformats.org/officeDocument/2006/relationships/table" Target="../tables/table81.xml"/><Relationship Id="rId19" Type="http://schemas.openxmlformats.org/officeDocument/2006/relationships/table" Target="../tables/table18.xml"/><Relationship Id="rId14" Type="http://schemas.openxmlformats.org/officeDocument/2006/relationships/table" Target="../tables/table13.xml"/><Relationship Id="rId30" Type="http://schemas.openxmlformats.org/officeDocument/2006/relationships/table" Target="../tables/table29.xml"/><Relationship Id="rId35" Type="http://schemas.openxmlformats.org/officeDocument/2006/relationships/table" Target="../tables/table34.xml"/><Relationship Id="rId56" Type="http://schemas.openxmlformats.org/officeDocument/2006/relationships/table" Target="../tables/table55.xml"/><Relationship Id="rId77" Type="http://schemas.openxmlformats.org/officeDocument/2006/relationships/table" Target="../tables/table76.xml"/><Relationship Id="rId100" Type="http://schemas.openxmlformats.org/officeDocument/2006/relationships/table" Target="../tables/table99.xml"/><Relationship Id="rId105" Type="http://schemas.openxmlformats.org/officeDocument/2006/relationships/table" Target="../tables/table104.xml"/><Relationship Id="rId8" Type="http://schemas.openxmlformats.org/officeDocument/2006/relationships/table" Target="../tables/table7.xml"/><Relationship Id="rId51" Type="http://schemas.openxmlformats.org/officeDocument/2006/relationships/table" Target="../tables/table50.xml"/><Relationship Id="rId72" Type="http://schemas.openxmlformats.org/officeDocument/2006/relationships/table" Target="../tables/table71.xml"/><Relationship Id="rId93" Type="http://schemas.openxmlformats.org/officeDocument/2006/relationships/table" Target="../tables/table92.xml"/><Relationship Id="rId98" Type="http://schemas.openxmlformats.org/officeDocument/2006/relationships/table" Target="../tables/table97.xml"/><Relationship Id="rId3" Type="http://schemas.openxmlformats.org/officeDocument/2006/relationships/table" Target="../tables/table2.xml"/><Relationship Id="rId25" Type="http://schemas.openxmlformats.org/officeDocument/2006/relationships/table" Target="../tables/table24.xml"/><Relationship Id="rId46" Type="http://schemas.openxmlformats.org/officeDocument/2006/relationships/table" Target="../tables/table45.xml"/><Relationship Id="rId67" Type="http://schemas.openxmlformats.org/officeDocument/2006/relationships/table" Target="../tables/table66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12.xml"/><Relationship Id="rId13" Type="http://schemas.openxmlformats.org/officeDocument/2006/relationships/table" Target="../tables/table117.xml"/><Relationship Id="rId18" Type="http://schemas.openxmlformats.org/officeDocument/2006/relationships/table" Target="../tables/table122.xml"/><Relationship Id="rId3" Type="http://schemas.openxmlformats.org/officeDocument/2006/relationships/table" Target="../tables/table107.xml"/><Relationship Id="rId7" Type="http://schemas.openxmlformats.org/officeDocument/2006/relationships/table" Target="../tables/table111.xml"/><Relationship Id="rId12" Type="http://schemas.openxmlformats.org/officeDocument/2006/relationships/table" Target="../tables/table116.xml"/><Relationship Id="rId17" Type="http://schemas.openxmlformats.org/officeDocument/2006/relationships/table" Target="../tables/table121.xml"/><Relationship Id="rId2" Type="http://schemas.openxmlformats.org/officeDocument/2006/relationships/table" Target="../tables/table106.xml"/><Relationship Id="rId16" Type="http://schemas.openxmlformats.org/officeDocument/2006/relationships/table" Target="../tables/table120.xml"/><Relationship Id="rId20" Type="http://schemas.openxmlformats.org/officeDocument/2006/relationships/table" Target="../tables/table124.xml"/><Relationship Id="rId1" Type="http://schemas.openxmlformats.org/officeDocument/2006/relationships/table" Target="../tables/table105.xml"/><Relationship Id="rId6" Type="http://schemas.openxmlformats.org/officeDocument/2006/relationships/table" Target="../tables/table110.xml"/><Relationship Id="rId11" Type="http://schemas.openxmlformats.org/officeDocument/2006/relationships/table" Target="../tables/table115.xml"/><Relationship Id="rId5" Type="http://schemas.openxmlformats.org/officeDocument/2006/relationships/table" Target="../tables/table109.xml"/><Relationship Id="rId15" Type="http://schemas.openxmlformats.org/officeDocument/2006/relationships/table" Target="../tables/table119.xml"/><Relationship Id="rId10" Type="http://schemas.openxmlformats.org/officeDocument/2006/relationships/table" Target="../tables/table114.xml"/><Relationship Id="rId19" Type="http://schemas.openxmlformats.org/officeDocument/2006/relationships/table" Target="../tables/table123.xml"/><Relationship Id="rId4" Type="http://schemas.openxmlformats.org/officeDocument/2006/relationships/table" Target="../tables/table108.xml"/><Relationship Id="rId9" Type="http://schemas.openxmlformats.org/officeDocument/2006/relationships/table" Target="../tables/table113.xml"/><Relationship Id="rId14" Type="http://schemas.openxmlformats.org/officeDocument/2006/relationships/table" Target="../tables/table11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227"/>
  <sheetViews>
    <sheetView tabSelected="1" zoomScaleNormal="100" workbookViewId="0">
      <pane xSplit="1" topLeftCell="AX1" activePane="topRight" state="frozen"/>
      <selection pane="topRight" activeCell="BL224" sqref="BL224"/>
    </sheetView>
  </sheetViews>
  <sheetFormatPr defaultRowHeight="15"/>
  <cols>
    <col min="2" max="2" width="6.5703125" bestFit="1" customWidth="1"/>
    <col min="3" max="3" width="9.7109375" bestFit="1" customWidth="1"/>
    <col min="4" max="4" width="8.7109375" bestFit="1" customWidth="1"/>
    <col min="5" max="5" width="11.140625" bestFit="1" customWidth="1"/>
    <col min="6" max="6" width="11.28515625" bestFit="1" customWidth="1"/>
    <col min="7" max="7" width="8.5703125" bestFit="1" customWidth="1"/>
    <col min="8" max="8" width="7.28515625" bestFit="1" customWidth="1"/>
    <col min="9" max="9" width="13.28515625" bestFit="1" customWidth="1"/>
    <col min="10" max="10" width="28.5703125" bestFit="1" customWidth="1"/>
    <col min="11" max="11" width="12.140625" bestFit="1" customWidth="1"/>
    <col min="13" max="13" width="6.85546875" bestFit="1" customWidth="1"/>
    <col min="14" max="15" width="9.28515625" bestFit="1" customWidth="1"/>
    <col min="16" max="16" width="11.140625" bestFit="1" customWidth="1"/>
    <col min="17" max="17" width="11.28515625" bestFit="1" customWidth="1"/>
    <col min="18" max="18" width="8.5703125" bestFit="1" customWidth="1"/>
    <col min="19" max="19" width="7.28515625" bestFit="1" customWidth="1"/>
    <col min="20" max="20" width="13.28515625" bestFit="1" customWidth="1"/>
    <col min="21" max="21" width="30.42578125" bestFit="1" customWidth="1"/>
    <col min="22" max="22" width="12.140625" bestFit="1" customWidth="1"/>
    <col min="31" max="31" width="10.5703125" bestFit="1" customWidth="1"/>
    <col min="32" max="32" width="13.28515625" bestFit="1" customWidth="1"/>
    <col min="33" max="33" width="30.42578125" bestFit="1" customWidth="1"/>
    <col min="34" max="34" width="12.140625" bestFit="1" customWidth="1"/>
    <col min="40" max="40" width="9.5703125" bestFit="1" customWidth="1"/>
    <col min="42" max="42" width="10.5703125" bestFit="1" customWidth="1"/>
    <col min="43" max="43" width="13.28515625" bestFit="1" customWidth="1"/>
    <col min="44" max="44" width="36.85546875" bestFit="1" customWidth="1"/>
    <col min="45" max="45" width="12.140625" bestFit="1" customWidth="1"/>
    <col min="50" max="50" width="12" bestFit="1" customWidth="1"/>
    <col min="54" max="54" width="10.5703125" bestFit="1" customWidth="1"/>
    <col min="55" max="55" width="13.28515625" bestFit="1" customWidth="1"/>
    <col min="56" max="56" width="36.85546875" bestFit="1" customWidth="1"/>
    <col min="57" max="57" width="12.140625" bestFit="1" customWidth="1"/>
    <col min="60" max="60" width="6.5703125" bestFit="1" customWidth="1"/>
    <col min="61" max="61" width="9.7109375" bestFit="1" customWidth="1"/>
    <col min="62" max="62" width="8.7109375" bestFit="1" customWidth="1"/>
    <col min="63" max="63" width="11.140625" bestFit="1" customWidth="1"/>
    <col min="64" max="64" width="11.28515625" bestFit="1" customWidth="1"/>
    <col min="65" max="65" width="8.5703125" bestFit="1" customWidth="1"/>
    <col min="66" max="66" width="10.5703125" bestFit="1" customWidth="1"/>
    <col min="67" max="67" width="13.28515625" bestFit="1" customWidth="1"/>
    <col min="68" max="68" width="28.5703125" bestFit="1" customWidth="1"/>
    <col min="69" max="69" width="12.140625" bestFit="1" customWidth="1"/>
  </cols>
  <sheetData>
    <row r="1" spans="1:69" ht="33.75" customHeight="1">
      <c r="B1" s="71">
        <v>46023</v>
      </c>
      <c r="C1" s="71"/>
      <c r="D1" s="71"/>
      <c r="E1" s="71"/>
      <c r="F1" s="71"/>
      <c r="G1" s="71"/>
      <c r="H1" s="71"/>
      <c r="I1" s="71"/>
      <c r="J1" s="71"/>
      <c r="L1" s="71">
        <v>46054</v>
      </c>
      <c r="M1" s="71"/>
      <c r="N1" s="71"/>
      <c r="O1" s="71"/>
      <c r="P1" s="71"/>
      <c r="Q1" s="71"/>
      <c r="R1" s="71"/>
      <c r="S1" s="71"/>
      <c r="T1" s="71"/>
      <c r="W1" s="71">
        <v>46082</v>
      </c>
      <c r="X1" s="71"/>
      <c r="Y1" s="71"/>
      <c r="Z1" s="71"/>
      <c r="AA1" s="71"/>
      <c r="AB1" s="71"/>
      <c r="AC1" s="71"/>
      <c r="AD1" s="71"/>
      <c r="AE1" s="71"/>
      <c r="AF1" s="71"/>
      <c r="AI1" s="73">
        <v>46113</v>
      </c>
      <c r="AJ1" s="73"/>
      <c r="AK1" s="73"/>
      <c r="AL1" s="73"/>
      <c r="AM1" s="73"/>
      <c r="AN1" s="73"/>
      <c r="AO1" s="73"/>
      <c r="AP1" s="73"/>
      <c r="AQ1" s="73"/>
      <c r="AU1" s="73">
        <v>46143</v>
      </c>
      <c r="AV1" s="73"/>
      <c r="AW1" s="73"/>
      <c r="AX1" s="73"/>
      <c r="AY1" s="73"/>
      <c r="AZ1" s="73"/>
      <c r="BA1" s="73"/>
      <c r="BB1" s="73"/>
      <c r="BC1" s="73"/>
      <c r="BH1" s="71">
        <v>46174</v>
      </c>
      <c r="BI1" s="71"/>
      <c r="BJ1" s="71"/>
      <c r="BK1" s="71"/>
      <c r="BL1" s="71"/>
      <c r="BM1" s="71"/>
      <c r="BN1" s="71"/>
      <c r="BO1" s="71"/>
      <c r="BP1" s="71"/>
    </row>
    <row r="2" spans="1:69">
      <c r="A2" s="1" t="s">
        <v>11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7" t="s">
        <v>21</v>
      </c>
      <c r="I2" s="2" t="s">
        <v>6</v>
      </c>
      <c r="J2" s="3" t="s">
        <v>7</v>
      </c>
      <c r="K2" s="4" t="s">
        <v>6</v>
      </c>
      <c r="M2" s="1" t="s">
        <v>0</v>
      </c>
      <c r="N2" s="1" t="s">
        <v>1</v>
      </c>
      <c r="O2" s="1" t="s">
        <v>2</v>
      </c>
      <c r="P2" s="1" t="s">
        <v>3</v>
      </c>
      <c r="Q2" s="1" t="s">
        <v>4</v>
      </c>
      <c r="R2" s="1" t="s">
        <v>5</v>
      </c>
      <c r="S2" s="17" t="s">
        <v>21</v>
      </c>
      <c r="T2" s="2" t="s">
        <v>6</v>
      </c>
      <c r="U2" s="3" t="s">
        <v>7</v>
      </c>
      <c r="V2" s="4" t="s">
        <v>6</v>
      </c>
      <c r="X2" s="1" t="s">
        <v>11</v>
      </c>
      <c r="Y2" s="1" t="s">
        <v>0</v>
      </c>
      <c r="Z2" s="1" t="s">
        <v>1</v>
      </c>
      <c r="AA2" s="1" t="s">
        <v>2</v>
      </c>
      <c r="AB2" s="1" t="s">
        <v>3</v>
      </c>
      <c r="AC2" s="1" t="s">
        <v>4</v>
      </c>
      <c r="AD2" s="1" t="s">
        <v>5</v>
      </c>
      <c r="AE2" s="17" t="s">
        <v>21</v>
      </c>
      <c r="AF2" s="2" t="s">
        <v>6</v>
      </c>
      <c r="AG2" s="3" t="s">
        <v>7</v>
      </c>
      <c r="AH2" s="4" t="s">
        <v>6</v>
      </c>
      <c r="AJ2" s="1" t="s">
        <v>0</v>
      </c>
      <c r="AK2" s="1" t="s">
        <v>1</v>
      </c>
      <c r="AL2" s="1" t="s">
        <v>2</v>
      </c>
      <c r="AM2" s="1" t="s">
        <v>3</v>
      </c>
      <c r="AN2" s="1" t="s">
        <v>4</v>
      </c>
      <c r="AO2" s="1" t="s">
        <v>5</v>
      </c>
      <c r="AP2" s="17" t="s">
        <v>21</v>
      </c>
      <c r="AQ2" s="2" t="s">
        <v>6</v>
      </c>
      <c r="AR2" s="3" t="s">
        <v>7</v>
      </c>
      <c r="AS2" s="4" t="s">
        <v>6</v>
      </c>
      <c r="AU2" s="1" t="s">
        <v>11</v>
      </c>
      <c r="AV2" s="1" t="s">
        <v>0</v>
      </c>
      <c r="AW2" s="1" t="s">
        <v>1</v>
      </c>
      <c r="AX2" s="1" t="s">
        <v>2</v>
      </c>
      <c r="AY2" s="1" t="s">
        <v>3</v>
      </c>
      <c r="AZ2" s="1" t="s">
        <v>4</v>
      </c>
      <c r="BA2" s="1" t="s">
        <v>5</v>
      </c>
      <c r="BB2" s="17" t="s">
        <v>21</v>
      </c>
      <c r="BC2" s="2" t="s">
        <v>6</v>
      </c>
      <c r="BD2" s="3" t="s">
        <v>7</v>
      </c>
      <c r="BE2" s="4" t="s">
        <v>6</v>
      </c>
      <c r="BG2" s="1" t="s">
        <v>11</v>
      </c>
      <c r="BH2" s="1" t="s">
        <v>0</v>
      </c>
      <c r="BI2" s="1" t="s">
        <v>1</v>
      </c>
      <c r="BJ2" s="1" t="s">
        <v>2</v>
      </c>
      <c r="BK2" s="1" t="s">
        <v>3</v>
      </c>
      <c r="BL2" s="1" t="s">
        <v>4</v>
      </c>
      <c r="BM2" s="1" t="s">
        <v>5</v>
      </c>
      <c r="BN2" s="17" t="s">
        <v>21</v>
      </c>
      <c r="BO2" s="2" t="s">
        <v>6</v>
      </c>
      <c r="BP2" s="3" t="s">
        <v>7</v>
      </c>
      <c r="BQ2" s="4" t="s">
        <v>6</v>
      </c>
    </row>
    <row r="3" spans="1:69" ht="15" customHeight="1">
      <c r="A3" s="72" t="s">
        <v>12</v>
      </c>
      <c r="B3" s="16"/>
      <c r="C3" s="10"/>
      <c r="D3" s="10"/>
      <c r="E3" s="10"/>
      <c r="F3" s="10"/>
      <c r="G3" s="11"/>
      <c r="H3" s="11"/>
      <c r="I3" s="12"/>
      <c r="J3" t="s">
        <v>8</v>
      </c>
      <c r="K3" s="8">
        <v>504</v>
      </c>
      <c r="M3" s="16">
        <v>46054</v>
      </c>
      <c r="N3" s="10"/>
      <c r="O3" s="10">
        <v>619241</v>
      </c>
      <c r="P3" s="10">
        <f>Table2691214203040547082981124[[#This Row],[KM Final]]-Table2691214203040547082981124[[#This Row],[KM Inicial]]</f>
        <v>619241</v>
      </c>
      <c r="Q3" s="10">
        <v>252.51</v>
      </c>
      <c r="R3" s="11">
        <f>Table2691214203040547082981124[[#This Row],[KM Rodado]]/Table2691214203040547082981124[[#This Row],[Consumo Lt]]</f>
        <v>2452.3424814858818</v>
      </c>
      <c r="S3" s="11">
        <v>44.23</v>
      </c>
      <c r="T3" s="12">
        <v>1523.57</v>
      </c>
      <c r="U3" t="s">
        <v>8</v>
      </c>
      <c r="V3" s="8">
        <v>504</v>
      </c>
      <c r="X3" s="72" t="s">
        <v>12</v>
      </c>
      <c r="Y3" s="16">
        <v>46084</v>
      </c>
      <c r="Z3" s="10">
        <v>627087</v>
      </c>
      <c r="AA3" s="10"/>
      <c r="AB3" s="10"/>
      <c r="AC3" s="10">
        <v>383</v>
      </c>
      <c r="AD3" s="11"/>
      <c r="AE3" s="11"/>
      <c r="AF3" s="12">
        <v>2106.5</v>
      </c>
      <c r="AG3" t="s">
        <v>8</v>
      </c>
      <c r="AH3" s="8">
        <v>504</v>
      </c>
      <c r="AJ3" s="16">
        <v>46114</v>
      </c>
      <c r="AK3" s="10">
        <v>644040</v>
      </c>
      <c r="AL3" s="10">
        <v>644040</v>
      </c>
      <c r="AM3" s="10">
        <f>Table26912142030405470829811243466[[#This Row],[KM Final]]-Table26912142030405470829811243466[[#This Row],[KM Inicial]]</f>
        <v>0</v>
      </c>
      <c r="AN3" s="10">
        <v>50</v>
      </c>
      <c r="AO3" s="11">
        <f>Table26912142030405470829811243466[[#This Row],[KM Rodado]]/Table26912142030405470829811243466[[#This Row],[Consumo Lt]]</f>
        <v>0</v>
      </c>
      <c r="AP3" s="11"/>
      <c r="AQ3" s="12">
        <v>392</v>
      </c>
      <c r="AR3" t="s">
        <v>8</v>
      </c>
      <c r="AS3" s="8">
        <v>504</v>
      </c>
      <c r="AU3" s="72" t="s">
        <v>12</v>
      </c>
      <c r="AV3" s="16">
        <v>46147</v>
      </c>
      <c r="AW3" s="10">
        <v>658133</v>
      </c>
      <c r="AX3" s="10">
        <v>659597</v>
      </c>
      <c r="AY3" s="10">
        <f>Table26912142030405470829811243466130[[#This Row],[KM Final]]-Table26912142030405470829811243466130[[#This Row],[KM Inicial]]</f>
        <v>1464</v>
      </c>
      <c r="AZ3" s="10">
        <v>419.15</v>
      </c>
      <c r="BA3" s="11">
        <f>Table26912142030405470829811243466130[[#This Row],[KM Rodado]]/Table26912142030405470829811243466130[[#This Row],[Consumo Lt]]</f>
        <v>3.4927830132410835</v>
      </c>
      <c r="BB3" s="11">
        <v>22.24</v>
      </c>
      <c r="BC3" s="12">
        <v>2792.67</v>
      </c>
      <c r="BD3" t="s">
        <v>8</v>
      </c>
      <c r="BE3" s="8">
        <v>504</v>
      </c>
      <c r="BG3" s="72" t="s">
        <v>12</v>
      </c>
      <c r="BH3" s="16">
        <v>46179</v>
      </c>
      <c r="BI3" s="10">
        <v>671779</v>
      </c>
      <c r="BJ3" s="10">
        <v>673211</v>
      </c>
      <c r="BK3" s="10">
        <f>Table26912142030405470829811252[[#This Row],[KM Final]]-Table26912142030405470829811252[[#This Row],[KM Inicial]]</f>
        <v>1432</v>
      </c>
      <c r="BL3" s="11">
        <v>456.14</v>
      </c>
      <c r="BM3" s="11">
        <f>Table26912142030405470829811252[[#This Row],[KM Rodado]]/Table26912142030405470829811252[[#This Row],[Consumo Lt]]</f>
        <v>3.1393870302977156</v>
      </c>
      <c r="BN3" s="11"/>
      <c r="BO3" s="12">
        <v>2850.89</v>
      </c>
      <c r="BP3" t="s">
        <v>8</v>
      </c>
      <c r="BQ3" s="8">
        <v>504</v>
      </c>
    </row>
    <row r="4" spans="1:69">
      <c r="A4" s="72"/>
      <c r="B4" s="16"/>
      <c r="C4" s="10"/>
      <c r="D4" s="10"/>
      <c r="E4" s="10"/>
      <c r="F4" s="10"/>
      <c r="G4" s="11"/>
      <c r="H4" s="11"/>
      <c r="I4" s="12"/>
      <c r="J4" t="s">
        <v>9</v>
      </c>
      <c r="K4" s="8">
        <v>178</v>
      </c>
      <c r="M4" s="16">
        <v>46056</v>
      </c>
      <c r="N4" s="10">
        <f>O3</f>
        <v>619241</v>
      </c>
      <c r="O4" s="10">
        <v>621124</v>
      </c>
      <c r="P4" s="10">
        <f>Table2691214203040547082981124[[#This Row],[KM Final]]-Table2691214203040547082981124[[#This Row],[KM Inicial]]</f>
        <v>1883</v>
      </c>
      <c r="Q4" s="10">
        <v>654.01</v>
      </c>
      <c r="R4" s="11">
        <f>Table2691214203040547082981124[[#This Row],[KM Rodado]]/Table2691214203040547082981124[[#This Row],[Consumo Lt]]</f>
        <v>2.8791608690998607</v>
      </c>
      <c r="S4" s="11">
        <v>32.409999999999997</v>
      </c>
      <c r="T4" s="12">
        <v>3707.09</v>
      </c>
      <c r="U4" t="s">
        <v>9</v>
      </c>
      <c r="V4" s="8">
        <v>178</v>
      </c>
      <c r="X4" s="72"/>
      <c r="Y4" s="16">
        <v>46086</v>
      </c>
      <c r="Z4" s="10">
        <f t="shared" ref="Z4:Z10" si="0">AA3</f>
        <v>0</v>
      </c>
      <c r="AA4" s="10">
        <v>635147</v>
      </c>
      <c r="AB4" s="10"/>
      <c r="AC4" s="10">
        <v>498.61</v>
      </c>
      <c r="AD4" s="11"/>
      <c r="AE4" s="11">
        <v>26</v>
      </c>
      <c r="AF4" s="12">
        <v>2837.72</v>
      </c>
      <c r="AG4" t="s">
        <v>9</v>
      </c>
      <c r="AH4" s="8">
        <v>178</v>
      </c>
      <c r="AJ4" s="16">
        <v>46114</v>
      </c>
      <c r="AK4" s="10">
        <f t="shared" ref="AK4:AK13" si="1">AL3</f>
        <v>644040</v>
      </c>
      <c r="AL4" s="10">
        <v>646202</v>
      </c>
      <c r="AM4" s="10">
        <f>Table26912142030405470829811243466[[#This Row],[KM Final]]-Table26912142030405470829811243466[[#This Row],[KM Inicial]]</f>
        <v>2162</v>
      </c>
      <c r="AN4" s="10">
        <v>644.01</v>
      </c>
      <c r="AO4" s="11">
        <f>Table26912142030405470829811243466[[#This Row],[KM Rodado]]/Table26912142030405470829811243466[[#This Row],[Consumo Lt]]</f>
        <v>3.3570907284048386</v>
      </c>
      <c r="AP4" s="11">
        <v>35.76</v>
      </c>
      <c r="AQ4" s="12">
        <v>4680.12</v>
      </c>
      <c r="AR4" t="s">
        <v>9</v>
      </c>
      <c r="AS4" s="8">
        <v>178</v>
      </c>
      <c r="AU4" s="72"/>
      <c r="AV4" s="16">
        <v>46150</v>
      </c>
      <c r="AW4" s="10">
        <f t="shared" ref="AW4:AW13" si="2">AX3</f>
        <v>659597</v>
      </c>
      <c r="AX4" s="10">
        <v>661096</v>
      </c>
      <c r="AY4" s="10">
        <f>Table26912142030405470829811243466130[[#This Row],[KM Final]]-Table26912142030405470829811243466130[[#This Row],[KM Inicial]]</f>
        <v>1499</v>
      </c>
      <c r="AZ4" s="10">
        <v>457.78</v>
      </c>
      <c r="BA4" s="11">
        <f>Table26912142030405470829811243466130[[#This Row],[KM Rodado]]/Table26912142030405470829811243466130[[#This Row],[Consumo Lt]]</f>
        <v>3.274498667482197</v>
      </c>
      <c r="BB4" s="11">
        <v>22.87</v>
      </c>
      <c r="BC4" s="12">
        <v>3046.24</v>
      </c>
      <c r="BD4" t="s">
        <v>9</v>
      </c>
      <c r="BE4" s="8">
        <v>178</v>
      </c>
      <c r="BG4" s="72"/>
      <c r="BH4" s="16">
        <v>46183</v>
      </c>
      <c r="BI4" s="10">
        <f t="shared" ref="BI4:BI7" si="3">BJ3</f>
        <v>673211</v>
      </c>
      <c r="BJ4" s="10">
        <v>674922</v>
      </c>
      <c r="BK4" s="10">
        <f>Table26912142030405470829811252[[#This Row],[KM Final]]-Table26912142030405470829811252[[#This Row],[KM Inicial]]</f>
        <v>1711</v>
      </c>
      <c r="BL4" s="10">
        <v>619.03</v>
      </c>
      <c r="BM4" s="11">
        <f>Table26912142030405470829811252[[#This Row],[KM Rodado]]/Table26912142030405470829811252[[#This Row],[Consumo Lt]]</f>
        <v>2.7640017446650407</v>
      </c>
      <c r="BN4" s="11">
        <v>53.42</v>
      </c>
      <c r="BO4" s="12">
        <v>4131.41</v>
      </c>
      <c r="BP4" t="s">
        <v>9</v>
      </c>
      <c r="BQ4" s="8">
        <v>178</v>
      </c>
    </row>
    <row r="5" spans="1:69">
      <c r="A5" s="72"/>
      <c r="B5" s="16"/>
      <c r="C5" s="10"/>
      <c r="D5" s="10"/>
      <c r="E5" s="10"/>
      <c r="F5" s="10"/>
      <c r="G5" s="11"/>
      <c r="H5" s="11"/>
      <c r="I5" s="12"/>
      <c r="K5" s="8"/>
      <c r="M5" s="16">
        <v>46061</v>
      </c>
      <c r="N5" s="10">
        <f>O4</f>
        <v>621124</v>
      </c>
      <c r="O5" s="10">
        <v>623360</v>
      </c>
      <c r="P5" s="10">
        <f>Table2691214203040547082981124[[#This Row],[KM Final]]-Table2691214203040547082981124[[#This Row],[KM Inicial]]</f>
        <v>2236</v>
      </c>
      <c r="Q5" s="10">
        <v>685</v>
      </c>
      <c r="R5" s="11">
        <f>Table2691214203040547082981124[[#This Row],[KM Rodado]]/Table2691214203040547082981124[[#This Row],[Consumo Lt]]</f>
        <v>3.2642335766423356</v>
      </c>
      <c r="S5" s="11">
        <v>33.93</v>
      </c>
      <c r="T5" s="12">
        <v>3879.69</v>
      </c>
      <c r="U5" t="s">
        <v>23</v>
      </c>
      <c r="V5" s="8">
        <v>120</v>
      </c>
      <c r="X5" s="72"/>
      <c r="Y5" s="16">
        <v>46089</v>
      </c>
      <c r="Z5" s="10">
        <f t="shared" si="0"/>
        <v>635147</v>
      </c>
      <c r="AA5" s="10">
        <v>637235</v>
      </c>
      <c r="AB5" s="10">
        <f>Table269121420304054708298112434[[#This Row],[KM Final]]-Table269121420304054708298112434[[#This Row],[KM Inicial]]</f>
        <v>2088</v>
      </c>
      <c r="AC5" s="10">
        <v>200</v>
      </c>
      <c r="AD5" s="11">
        <f>Table269121420304054708298112434[[#This Row],[KM Rodado]]/Table269121420304054708298112434[[#This Row],[Consumo Lt]]</f>
        <v>10.44</v>
      </c>
      <c r="AE5" s="11"/>
      <c r="AF5" s="12">
        <v>1210.1199999999999</v>
      </c>
      <c r="AH5" s="8"/>
      <c r="AJ5" s="16">
        <v>46120</v>
      </c>
      <c r="AK5" s="10">
        <f t="shared" si="1"/>
        <v>646202</v>
      </c>
      <c r="AL5" s="10">
        <v>648092</v>
      </c>
      <c r="AM5" s="10">
        <f>Table26912142030405470829811243466[[#This Row],[KM Final]]-Table26912142030405470829811243466[[#This Row],[KM Inicial]]</f>
        <v>1890</v>
      </c>
      <c r="AN5" s="10">
        <v>300</v>
      </c>
      <c r="AO5" s="11">
        <f>Table26912142030405470829811243466[[#This Row],[KM Rodado]]/Table26912142030405470829811243466[[#This Row],[Consumo Lt]]</f>
        <v>6.3</v>
      </c>
      <c r="AP5" s="11"/>
      <c r="AQ5" s="12">
        <v>2097</v>
      </c>
      <c r="AR5" t="s">
        <v>45</v>
      </c>
      <c r="AS5" s="8">
        <v>80</v>
      </c>
      <c r="AU5" s="72"/>
      <c r="AV5" s="16">
        <v>46151</v>
      </c>
      <c r="AW5" s="10">
        <f t="shared" si="2"/>
        <v>661096</v>
      </c>
      <c r="AX5" s="10">
        <v>661867</v>
      </c>
      <c r="AY5" s="10">
        <f>Table26912142030405470829811243466130[[#This Row],[KM Final]]-Table26912142030405470829811243466130[[#This Row],[KM Inicial]]</f>
        <v>771</v>
      </c>
      <c r="AZ5" s="10">
        <v>281</v>
      </c>
      <c r="BA5" s="11">
        <f>Table26912142030405470829811243466130[[#This Row],[KM Rodado]]/Table26912142030405470829811243466130[[#This Row],[Consumo Lt]]</f>
        <v>2.7437722419928825</v>
      </c>
      <c r="BB5" s="11">
        <v>14.72</v>
      </c>
      <c r="BC5" s="12">
        <v>1872.12</v>
      </c>
      <c r="BD5" t="s">
        <v>105</v>
      </c>
      <c r="BE5" s="8">
        <v>1500</v>
      </c>
      <c r="BG5" s="72"/>
      <c r="BH5" s="16">
        <v>46186</v>
      </c>
      <c r="BI5" s="10">
        <f t="shared" si="3"/>
        <v>674922</v>
      </c>
      <c r="BJ5" s="10">
        <v>676622</v>
      </c>
      <c r="BK5" s="10">
        <f>Table26912142030405470829811252[[#This Row],[KM Final]]-Table26912142030405470829811252[[#This Row],[KM Inicial]]</f>
        <v>1700</v>
      </c>
      <c r="BL5" s="10">
        <v>444.69</v>
      </c>
      <c r="BM5" s="11">
        <f>Table26912142030405470829811252[[#This Row],[KM Rodado]]/Table26912142030405470829811252[[#This Row],[Consumo Lt]]</f>
        <v>3.8228878544604106</v>
      </c>
      <c r="BN5" s="11"/>
      <c r="BO5" s="12">
        <v>2779.32</v>
      </c>
      <c r="BP5" t="s">
        <v>122</v>
      </c>
      <c r="BQ5" s="8">
        <v>1200</v>
      </c>
    </row>
    <row r="6" spans="1:69">
      <c r="A6" s="72"/>
      <c r="B6" s="16"/>
      <c r="C6" s="10"/>
      <c r="D6" s="10"/>
      <c r="E6" s="10"/>
      <c r="F6" s="10"/>
      <c r="G6" s="11"/>
      <c r="H6" s="11"/>
      <c r="I6" s="12"/>
      <c r="K6" s="14"/>
      <c r="M6" s="16">
        <v>46065</v>
      </c>
      <c r="N6" s="10">
        <f>O5</f>
        <v>623360</v>
      </c>
      <c r="O6" s="10">
        <v>625462</v>
      </c>
      <c r="P6" s="10">
        <f>Table2691214203040547082981124[[#This Row],[KM Final]]-Table2691214203040547082981124[[#This Row],[KM Inicial]]</f>
        <v>2102</v>
      </c>
      <c r="Q6" s="10">
        <v>661.63</v>
      </c>
      <c r="R6" s="11">
        <f>Table2691214203040547082981124[[#This Row],[KM Rodado]]/Table2691214203040547082981124[[#This Row],[Consumo Lt]]</f>
        <v>3.1770022520139656</v>
      </c>
      <c r="S6" s="11">
        <v>35.65</v>
      </c>
      <c r="T6" s="12">
        <v>3745.04</v>
      </c>
      <c r="U6" t="s">
        <v>35</v>
      </c>
      <c r="V6" s="14">
        <v>260</v>
      </c>
      <c r="X6" s="72"/>
      <c r="Y6" s="16">
        <v>46091</v>
      </c>
      <c r="Z6" s="10">
        <f t="shared" si="0"/>
        <v>637235</v>
      </c>
      <c r="AA6" s="10">
        <v>637748</v>
      </c>
      <c r="AB6" s="10">
        <f>Table269121420304054708298112434[[#This Row],[KM Final]]-Table269121420304054708298112434[[#This Row],[KM Inicial]]</f>
        <v>513</v>
      </c>
      <c r="AC6" s="10">
        <v>598.41</v>
      </c>
      <c r="AD6" s="11">
        <f>Table269121420304054708298112434[[#This Row],[KM Rodado]]/Table269121420304054708298112434[[#This Row],[Consumo Lt]]</f>
        <v>0.8572717701910062</v>
      </c>
      <c r="AE6" s="11">
        <v>33.5</v>
      </c>
      <c r="AF6" s="12">
        <v>4103.5200000000004</v>
      </c>
      <c r="AH6" s="14"/>
      <c r="AJ6" s="16">
        <v>46121</v>
      </c>
      <c r="AK6" s="10">
        <f t="shared" si="1"/>
        <v>648092</v>
      </c>
      <c r="AL6" s="10">
        <v>648677</v>
      </c>
      <c r="AM6" s="10">
        <f>Table26912142030405470829811243466[[#This Row],[KM Final]]-Table26912142030405470829811243466[[#This Row],[KM Inicial]]</f>
        <v>585</v>
      </c>
      <c r="AN6" s="10">
        <v>499.84</v>
      </c>
      <c r="AO6" s="11">
        <f>Table26912142030405470829811243466[[#This Row],[KM Rodado]]/Table26912142030405470829811243466[[#This Row],[Consumo Lt]]</f>
        <v>1.1703745198463509</v>
      </c>
      <c r="AP6" s="11">
        <v>37.479999999999997</v>
      </c>
      <c r="AQ6" s="12">
        <v>3496.35</v>
      </c>
      <c r="AR6" t="s">
        <v>96</v>
      </c>
      <c r="AS6" s="14">
        <v>32.49</v>
      </c>
      <c r="AU6" s="72"/>
      <c r="AV6" s="16">
        <v>46157</v>
      </c>
      <c r="AW6" s="10">
        <f t="shared" si="2"/>
        <v>661867</v>
      </c>
      <c r="AX6" s="10">
        <v>663820</v>
      </c>
      <c r="AY6" s="10">
        <f>Table26912142030405470829811243466130[[#This Row],[KM Final]]-Table26912142030405470829811243466130[[#This Row],[KM Inicial]]</f>
        <v>1953</v>
      </c>
      <c r="AZ6" s="10">
        <v>200</v>
      </c>
      <c r="BA6" s="11">
        <f>Table26912142030405470829811243466130[[#This Row],[KM Rodado]]/Table26912142030405470829811243466130[[#This Row],[Consumo Lt]]</f>
        <v>9.7650000000000006</v>
      </c>
      <c r="BB6" s="11"/>
      <c r="BC6" s="12">
        <v>1314.26</v>
      </c>
      <c r="BD6" t="s">
        <v>106</v>
      </c>
      <c r="BE6" s="14">
        <v>2600</v>
      </c>
      <c r="BG6" s="72"/>
      <c r="BH6" s="16">
        <v>46191</v>
      </c>
      <c r="BI6" s="10">
        <f t="shared" si="3"/>
        <v>676622</v>
      </c>
      <c r="BJ6" s="10">
        <v>677984</v>
      </c>
      <c r="BK6" s="10">
        <f>Table26912142030405470829811252[[#This Row],[KM Final]]-Table26912142030405470829811252[[#This Row],[KM Inicial]]</f>
        <v>1362</v>
      </c>
      <c r="BL6" s="10">
        <v>666.66</v>
      </c>
      <c r="BM6" s="11">
        <f>Table26912142030405470829811252[[#This Row],[KM Rodado]]/Table26912142030405470829811252[[#This Row],[Consumo Lt]]</f>
        <v>2.0430204302043022</v>
      </c>
      <c r="BN6" s="11">
        <v>36.44</v>
      </c>
      <c r="BO6" s="12">
        <v>4425.49</v>
      </c>
      <c r="BQ6" s="14"/>
    </row>
    <row r="7" spans="1:69">
      <c r="A7" s="72"/>
      <c r="B7" s="16"/>
      <c r="C7" s="10"/>
      <c r="D7" s="10"/>
      <c r="E7" s="10"/>
      <c r="F7" s="10"/>
      <c r="G7" s="11"/>
      <c r="H7" s="11"/>
      <c r="I7" s="12"/>
      <c r="K7" s="8"/>
      <c r="M7" s="16">
        <v>46067</v>
      </c>
      <c r="N7" s="10">
        <f>O6</f>
        <v>625462</v>
      </c>
      <c r="O7" s="10">
        <v>627087</v>
      </c>
      <c r="P7" s="10">
        <f>Table2691214203040547082981124[[#This Row],[KM Final]]-Table2691214203040547082981124[[#This Row],[KM Inicial]]</f>
        <v>1625</v>
      </c>
      <c r="Q7" s="10">
        <v>529.62</v>
      </c>
      <c r="R7" s="11">
        <f>Table2691214203040547082981124[[#This Row],[KM Rodado]]/Table2691214203040547082981124[[#This Row],[Consumo Lt]]</f>
        <v>3.0682376043200783</v>
      </c>
      <c r="S7" s="11">
        <v>28.67</v>
      </c>
      <c r="T7" s="12">
        <v>3029.31</v>
      </c>
      <c r="U7" t="s">
        <v>36</v>
      </c>
      <c r="V7" s="8">
        <v>2700</v>
      </c>
      <c r="X7" s="72"/>
      <c r="Y7" s="16">
        <v>46097</v>
      </c>
      <c r="Z7" s="10">
        <f t="shared" si="0"/>
        <v>637748</v>
      </c>
      <c r="AA7" s="10">
        <v>641068</v>
      </c>
      <c r="AB7" s="10">
        <f>Table269121420304054708298112434[[#This Row],[KM Final]]-Table269121420304054708298112434[[#This Row],[KM Inicial]]</f>
        <v>3320</v>
      </c>
      <c r="AC7" s="10">
        <v>586.5</v>
      </c>
      <c r="AD7" s="11">
        <f>Table269121420304054708298112434[[#This Row],[KM Rodado]]/Table269121420304054708298112434[[#This Row],[Consumo Lt]]</f>
        <v>5.6606990622335891</v>
      </c>
      <c r="AE7" s="11">
        <v>20</v>
      </c>
      <c r="AF7" s="12">
        <v>3854.46</v>
      </c>
      <c r="AH7" s="8"/>
      <c r="AJ7" s="16">
        <v>46126</v>
      </c>
      <c r="AK7" s="10">
        <f t="shared" si="1"/>
        <v>648677</v>
      </c>
      <c r="AL7" s="10">
        <v>650584</v>
      </c>
      <c r="AM7" s="10">
        <f>Table26912142030405470829811243466[[#This Row],[KM Final]]-Table26912142030405470829811243466[[#This Row],[KM Inicial]]</f>
        <v>1907</v>
      </c>
      <c r="AN7" s="10">
        <v>640.83000000000004</v>
      </c>
      <c r="AO7" s="11">
        <f>Table26912142030405470829811243466[[#This Row],[KM Rodado]]/Table26912142030405470829811243466[[#This Row],[Consumo Lt]]</f>
        <v>2.9758282227735902</v>
      </c>
      <c r="AP7" s="11">
        <v>34.159999999999997</v>
      </c>
      <c r="AQ7" s="12">
        <v>4591.79</v>
      </c>
      <c r="AS7" s="8"/>
      <c r="AU7" s="72"/>
      <c r="AV7" s="16">
        <v>46158</v>
      </c>
      <c r="AW7" s="10">
        <f t="shared" si="2"/>
        <v>663820</v>
      </c>
      <c r="AX7" s="10">
        <v>664306</v>
      </c>
      <c r="AY7" s="10">
        <f>Table26912142030405470829811243466130[[#This Row],[KM Final]]-Table26912142030405470829811243466130[[#This Row],[KM Inicial]]</f>
        <v>486</v>
      </c>
      <c r="AZ7" s="10">
        <v>597.01</v>
      </c>
      <c r="BA7" s="11">
        <f>Table26912142030405470829811243466130[[#This Row],[KM Rodado]]/Table26912142030405470829811243466130[[#This Row],[Consumo Lt]]</f>
        <v>0.81405671596790674</v>
      </c>
      <c r="BB7" s="11">
        <v>39.5</v>
      </c>
      <c r="BC7" s="12">
        <v>4004.55</v>
      </c>
      <c r="BD7" t="s">
        <v>107</v>
      </c>
      <c r="BE7" s="8">
        <v>3000</v>
      </c>
      <c r="BG7" s="72"/>
      <c r="BH7" s="16"/>
      <c r="BI7" s="19">
        <f t="shared" si="3"/>
        <v>677984</v>
      </c>
      <c r="BJ7" s="10"/>
      <c r="BK7" s="10"/>
      <c r="BL7" s="10"/>
      <c r="BM7" s="11"/>
      <c r="BN7" s="11"/>
      <c r="BO7" s="12"/>
      <c r="BQ7" s="8"/>
    </row>
    <row r="8" spans="1:69">
      <c r="A8" s="72"/>
      <c r="B8" s="9"/>
      <c r="C8" s="10"/>
      <c r="D8" s="5"/>
      <c r="E8" s="10"/>
      <c r="F8" s="5"/>
      <c r="G8" s="11"/>
      <c r="H8" s="11"/>
      <c r="I8" s="13"/>
      <c r="K8" s="8"/>
      <c r="M8" s="9"/>
      <c r="N8" s="19">
        <f>O7</f>
        <v>627087</v>
      </c>
      <c r="O8" s="5"/>
      <c r="P8" s="10"/>
      <c r="Q8" s="5"/>
      <c r="R8" s="11"/>
      <c r="S8" s="11"/>
      <c r="T8" s="13"/>
      <c r="V8" s="8"/>
      <c r="X8" s="72"/>
      <c r="Y8" s="16">
        <v>46104</v>
      </c>
      <c r="Z8" s="10">
        <f t="shared" si="0"/>
        <v>641068</v>
      </c>
      <c r="AA8" s="10">
        <v>642927</v>
      </c>
      <c r="AB8" s="10">
        <f>Table269121420304054708298112434[[#This Row],[KM Final]]-Table269121420304054708298112434[[#This Row],[KM Inicial]]</f>
        <v>1859</v>
      </c>
      <c r="AC8" s="10">
        <v>598.01</v>
      </c>
      <c r="AD8" s="11">
        <f>Table269121420304054708298112434[[#This Row],[KM Rodado]]/Table269121420304054708298112434[[#This Row],[Consumo Lt]]</f>
        <v>3.1086436681660841</v>
      </c>
      <c r="AE8" s="11">
        <v>40.479999999999997</v>
      </c>
      <c r="AF8" s="12">
        <v>4608.2299999999996</v>
      </c>
      <c r="AH8" s="8"/>
      <c r="AJ8" s="16">
        <v>46130</v>
      </c>
      <c r="AK8" s="10">
        <f t="shared" si="1"/>
        <v>650584</v>
      </c>
      <c r="AL8" s="10">
        <v>652624</v>
      </c>
      <c r="AM8" s="10">
        <f>Table26912142030405470829811243466[[#This Row],[KM Final]]-Table26912142030405470829811243466[[#This Row],[KM Inicial]]</f>
        <v>2040</v>
      </c>
      <c r="AN8" s="10">
        <v>626.98</v>
      </c>
      <c r="AO8" s="11">
        <f>Table26912142030405470829811243466[[#This Row],[KM Rodado]]/Table26912142030405470829811243466[[#This Row],[Consumo Lt]]</f>
        <v>3.2536923027847777</v>
      </c>
      <c r="AP8" s="11">
        <v>30</v>
      </c>
      <c r="AQ8" s="12">
        <v>4140.04</v>
      </c>
      <c r="AS8" s="8"/>
      <c r="AU8" s="72"/>
      <c r="AV8" s="16">
        <v>46161</v>
      </c>
      <c r="AW8" s="10">
        <f t="shared" si="2"/>
        <v>664306</v>
      </c>
      <c r="AX8" s="10">
        <v>665716</v>
      </c>
      <c r="AY8" s="10">
        <f>Table26912142030405470829811243466130[[#This Row],[KM Final]]-Table26912142030405470829811243466130[[#This Row],[KM Inicial]]</f>
        <v>1410</v>
      </c>
      <c r="AZ8" s="10">
        <v>466.93</v>
      </c>
      <c r="BA8" s="11">
        <f>Table26912142030405470829811243466130[[#This Row],[KM Rodado]]/Table26912142030405470829811243466130[[#This Row],[Consumo Lt]]</f>
        <v>3.0197245839847513</v>
      </c>
      <c r="BB8" s="11">
        <v>26.46</v>
      </c>
      <c r="BC8" s="12">
        <v>3132.84</v>
      </c>
      <c r="BD8" t="s">
        <v>27</v>
      </c>
      <c r="BE8" s="8">
        <v>450</v>
      </c>
      <c r="BG8" s="72"/>
      <c r="BH8" s="9"/>
      <c r="BI8" s="10"/>
      <c r="BJ8" s="5"/>
      <c r="BK8" s="10"/>
      <c r="BL8" s="5"/>
      <c r="BM8" s="11"/>
      <c r="BN8" s="11"/>
      <c r="BO8" s="13"/>
      <c r="BQ8" s="8"/>
    </row>
    <row r="9" spans="1:69">
      <c r="A9" s="72"/>
      <c r="B9" s="9"/>
      <c r="C9" s="10"/>
      <c r="D9" s="5"/>
      <c r="E9" s="10"/>
      <c r="F9" s="5"/>
      <c r="G9" s="13"/>
      <c r="H9" s="11"/>
      <c r="I9" s="13"/>
      <c r="K9" s="8"/>
      <c r="M9" s="9"/>
      <c r="N9" s="10"/>
      <c r="O9" s="5"/>
      <c r="P9" s="10"/>
      <c r="Q9" s="5"/>
      <c r="R9" s="11"/>
      <c r="S9" s="11"/>
      <c r="T9" s="13"/>
      <c r="V9" s="8"/>
      <c r="X9" s="72"/>
      <c r="Y9" s="16">
        <v>46105</v>
      </c>
      <c r="Z9" s="10">
        <f t="shared" si="0"/>
        <v>642927</v>
      </c>
      <c r="AA9" s="10">
        <v>644040</v>
      </c>
      <c r="AB9" s="10">
        <f>Table269121420304054708298112434[[#This Row],[KM Final]]-Table269121420304054708298112434[[#This Row],[KM Inicial]]</f>
        <v>1113</v>
      </c>
      <c r="AC9" s="10">
        <v>357.1</v>
      </c>
      <c r="AD9" s="11">
        <f>Table269121420304054708298112434[[#This Row],[KM Rodado]]/Table269121420304054708298112434[[#This Row],[Consumo Lt]]</f>
        <v>3.1167740128815455</v>
      </c>
      <c r="AE9" s="11">
        <v>18.04</v>
      </c>
      <c r="AF9" s="12">
        <v>2544.96</v>
      </c>
      <c r="AH9" s="8"/>
      <c r="AJ9" s="16">
        <v>46131</v>
      </c>
      <c r="AK9" s="10">
        <f t="shared" si="1"/>
        <v>652624</v>
      </c>
      <c r="AL9" s="10">
        <v>653324</v>
      </c>
      <c r="AM9" s="10">
        <f>Table26912142030405470829811243466[[#This Row],[KM Final]]-Table26912142030405470829811243466[[#This Row],[KM Inicial]]</f>
        <v>700</v>
      </c>
      <c r="AN9" s="10">
        <v>233</v>
      </c>
      <c r="AO9" s="11">
        <f>Table26912142030405470829811243466[[#This Row],[KM Rodado]]/Table26912142030405470829811243466[[#This Row],[Consumo Lt]]</f>
        <v>3.0042918454935621</v>
      </c>
      <c r="AP9" s="11"/>
      <c r="AQ9" s="12">
        <v>1502.88</v>
      </c>
      <c r="AS9" s="8"/>
      <c r="AU9" s="72"/>
      <c r="AV9" s="16">
        <v>46163</v>
      </c>
      <c r="AW9" s="10">
        <f t="shared" si="2"/>
        <v>665716</v>
      </c>
      <c r="AX9" s="10">
        <v>667271</v>
      </c>
      <c r="AY9" s="10">
        <f>Table26912142030405470829811243466130[[#This Row],[KM Final]]-Table26912142030405470829811243466130[[#This Row],[KM Inicial]]</f>
        <v>1555</v>
      </c>
      <c r="AZ9" s="10">
        <v>516.49</v>
      </c>
      <c r="BA9" s="11">
        <f>Table26912142030405470829811243466130[[#This Row],[KM Rodado]]/Table26912142030405470829811243466130[[#This Row],[Consumo Lt]]</f>
        <v>3.0107068868709947</v>
      </c>
      <c r="BB9" s="11">
        <v>27.63</v>
      </c>
      <c r="BC9" s="12">
        <v>3486.76</v>
      </c>
      <c r="BE9" s="8"/>
      <c r="BG9" s="72"/>
      <c r="BH9" s="9"/>
      <c r="BI9" s="10"/>
      <c r="BJ9" s="5"/>
      <c r="BK9" s="10"/>
      <c r="BL9" s="5"/>
      <c r="BM9" s="70"/>
      <c r="BN9" s="11"/>
      <c r="BO9" s="13"/>
      <c r="BQ9" s="8"/>
    </row>
    <row r="10" spans="1:69">
      <c r="A10" s="72"/>
      <c r="B10" s="9"/>
      <c r="C10" s="15"/>
      <c r="D10" s="5"/>
      <c r="E10" s="10"/>
      <c r="F10" s="5"/>
      <c r="G10" s="13"/>
      <c r="H10" s="11"/>
      <c r="I10" s="13"/>
      <c r="K10" s="8"/>
      <c r="M10" s="9"/>
      <c r="N10" s="15"/>
      <c r="O10" s="5"/>
      <c r="P10" s="10"/>
      <c r="Q10" s="5"/>
      <c r="R10" s="11"/>
      <c r="S10" s="11"/>
      <c r="T10" s="13"/>
      <c r="V10" s="8"/>
      <c r="X10" s="72"/>
      <c r="Y10" s="16"/>
      <c r="Z10" s="19">
        <f t="shared" si="0"/>
        <v>644040</v>
      </c>
      <c r="AA10" s="10"/>
      <c r="AB10" s="10"/>
      <c r="AC10" s="10"/>
      <c r="AD10" s="11"/>
      <c r="AE10" s="11"/>
      <c r="AF10" s="12"/>
      <c r="AH10" s="8"/>
      <c r="AJ10" s="16">
        <v>46135</v>
      </c>
      <c r="AK10" s="10">
        <f t="shared" si="1"/>
        <v>653324</v>
      </c>
      <c r="AL10" s="10">
        <v>655260</v>
      </c>
      <c r="AM10" s="10">
        <f>Table26912142030405470829811243466[[#This Row],[KM Final]]-Table26912142030405470829811243466[[#This Row],[KM Inicial]]</f>
        <v>1936</v>
      </c>
      <c r="AN10" s="10">
        <v>622</v>
      </c>
      <c r="AO10" s="11">
        <f>Table26912142030405470829811243466[[#This Row],[KM Rodado]]/Table26912142030405470829811243466[[#This Row],[Consumo Lt]]</f>
        <v>3.112540192926045</v>
      </c>
      <c r="AP10" s="11">
        <v>43.33</v>
      </c>
      <c r="AQ10" s="12">
        <v>4330.01</v>
      </c>
      <c r="AS10" s="8"/>
      <c r="AU10" s="72"/>
      <c r="AV10" s="16">
        <v>46165</v>
      </c>
      <c r="AW10" s="10">
        <f t="shared" si="2"/>
        <v>667271</v>
      </c>
      <c r="AX10" s="10">
        <v>668729</v>
      </c>
      <c r="AY10" s="10">
        <f>Table26912142030405470829811243466130[[#This Row],[KM Final]]-Table26912142030405470829811243466130[[#This Row],[KM Inicial]]</f>
        <v>1458</v>
      </c>
      <c r="AZ10" s="10">
        <v>458.24</v>
      </c>
      <c r="BA10" s="11">
        <f>Table26912142030405470829811243466130[[#This Row],[KM Rodado]]/Table26912142030405470829811243466130[[#This Row],[Consumo Lt]]</f>
        <v>3.1817388268156424</v>
      </c>
      <c r="BB10" s="11">
        <v>24.79</v>
      </c>
      <c r="BC10" s="12">
        <v>3004.77</v>
      </c>
      <c r="BE10" s="8"/>
      <c r="BG10" s="72"/>
      <c r="BH10" s="9"/>
      <c r="BI10" s="15"/>
      <c r="BJ10" s="5"/>
      <c r="BK10" s="10"/>
      <c r="BL10" s="5"/>
      <c r="BM10" s="70"/>
      <c r="BN10" s="11"/>
      <c r="BO10" s="13"/>
      <c r="BQ10" s="8"/>
    </row>
    <row r="11" spans="1:69">
      <c r="A11" s="72"/>
      <c r="B11" s="5"/>
      <c r="C11" s="15"/>
      <c r="D11" s="5"/>
      <c r="E11" s="10"/>
      <c r="F11" s="5"/>
      <c r="G11" s="13"/>
      <c r="H11" s="11"/>
      <c r="I11" s="13"/>
      <c r="K11" s="8"/>
      <c r="M11" s="5"/>
      <c r="N11" s="15"/>
      <c r="O11" s="5"/>
      <c r="P11" s="10"/>
      <c r="Q11" s="5"/>
      <c r="R11" s="11"/>
      <c r="S11" s="11"/>
      <c r="T11" s="13"/>
      <c r="V11" s="8"/>
      <c r="X11" s="72"/>
      <c r="Y11" s="5"/>
      <c r="Z11" s="15"/>
      <c r="AA11" s="5"/>
      <c r="AB11" s="10"/>
      <c r="AC11" s="5"/>
      <c r="AD11" s="11"/>
      <c r="AE11" s="11"/>
      <c r="AF11" s="13"/>
      <c r="AH11" s="8"/>
      <c r="AJ11" s="9">
        <v>46137</v>
      </c>
      <c r="AK11" s="39">
        <f t="shared" si="1"/>
        <v>655260</v>
      </c>
      <c r="AL11" s="5">
        <v>656281</v>
      </c>
      <c r="AM11" s="10">
        <f>Table26912142030405470829811243466[[#This Row],[KM Final]]-Table26912142030405470829811243466[[#This Row],[KM Inicial]]</f>
        <v>1021</v>
      </c>
      <c r="AN11" s="5">
        <v>352.71</v>
      </c>
      <c r="AO11" s="11">
        <f>Table26912142030405470829811243466[[#This Row],[KM Rodado]]/Table26912142030405470829811243466[[#This Row],[Consumo Lt]]</f>
        <v>2.8947293810779398</v>
      </c>
      <c r="AP11" s="11"/>
      <c r="AQ11" s="13">
        <v>2183.33</v>
      </c>
      <c r="AS11" s="8"/>
      <c r="AU11" s="72"/>
      <c r="AV11" s="9">
        <v>46171</v>
      </c>
      <c r="AW11" s="39">
        <f t="shared" si="2"/>
        <v>668729</v>
      </c>
      <c r="AX11" s="5">
        <v>670659</v>
      </c>
      <c r="AY11" s="10">
        <f>Table26912142030405470829811243466130[[#This Row],[KM Final]]-Table26912142030405470829811243466130[[#This Row],[KM Inicial]]</f>
        <v>1930</v>
      </c>
      <c r="AZ11" s="5">
        <v>667.48</v>
      </c>
      <c r="BA11" s="11">
        <f>Table26912142030405470829811243466130[[#This Row],[KM Rodado]]/Table26912142030405470829811243466130[[#This Row],[Consumo Lt]]</f>
        <v>2.8914724036675254</v>
      </c>
      <c r="BB11" s="11">
        <v>38.03</v>
      </c>
      <c r="BC11" s="13">
        <v>4444.18</v>
      </c>
      <c r="BE11" s="8"/>
      <c r="BG11" s="72"/>
      <c r="BH11" s="5"/>
      <c r="BI11" s="15"/>
      <c r="BJ11" s="5"/>
      <c r="BK11" s="10"/>
      <c r="BL11" s="5"/>
      <c r="BM11" s="70"/>
      <c r="BN11" s="11"/>
      <c r="BO11" s="13"/>
      <c r="BQ11" s="8"/>
    </row>
    <row r="12" spans="1:69">
      <c r="A12" s="72"/>
      <c r="B12" s="9"/>
      <c r="C12" s="5"/>
      <c r="D12" s="5"/>
      <c r="E12" s="10"/>
      <c r="F12" s="5"/>
      <c r="G12" s="13"/>
      <c r="H12" s="11"/>
      <c r="I12" s="13"/>
      <c r="K12" s="8"/>
      <c r="M12" s="9"/>
      <c r="N12" s="5"/>
      <c r="O12" s="5"/>
      <c r="P12" s="10"/>
      <c r="Q12" s="5"/>
      <c r="R12" s="11"/>
      <c r="S12" s="11"/>
      <c r="T12" s="13"/>
      <c r="V12" s="8"/>
      <c r="X12" s="72"/>
      <c r="Y12" s="9"/>
      <c r="Z12" s="5"/>
      <c r="AA12" s="5"/>
      <c r="AB12" s="10"/>
      <c r="AC12" s="5"/>
      <c r="AD12" s="11"/>
      <c r="AE12" s="11"/>
      <c r="AF12" s="13"/>
      <c r="AH12" s="8"/>
      <c r="AJ12" s="9">
        <v>46142</v>
      </c>
      <c r="AK12" s="39">
        <f t="shared" si="1"/>
        <v>656281</v>
      </c>
      <c r="AL12" s="5">
        <v>658133</v>
      </c>
      <c r="AM12" s="10">
        <f>Table26912142030405470829811243466[[#This Row],[KM Final]]-Table26912142030405470829811243466[[#This Row],[KM Inicial]]</f>
        <v>1852</v>
      </c>
      <c r="AN12" s="5">
        <v>635.32000000000005</v>
      </c>
      <c r="AO12" s="11">
        <f>Table26912142030405470829811243466[[#This Row],[KM Rodado]]/Table26912142030405470829811243466[[#This Row],[Consumo Lt]]</f>
        <v>2.9150664232197947</v>
      </c>
      <c r="AP12" s="11">
        <v>47.7</v>
      </c>
      <c r="AQ12" s="13">
        <v>4263.9399999999996</v>
      </c>
      <c r="AS12" s="8"/>
      <c r="AU12" s="72"/>
      <c r="AV12" s="9">
        <v>46173</v>
      </c>
      <c r="AW12" s="39">
        <f t="shared" si="2"/>
        <v>670659</v>
      </c>
      <c r="AX12" s="5">
        <v>671779</v>
      </c>
      <c r="AY12" s="10">
        <f>Table26912142030405470829811243466130[[#This Row],[KM Final]]-Table26912142030405470829811243466130[[#This Row],[KM Inicial]]</f>
        <v>1120</v>
      </c>
      <c r="AZ12" s="5">
        <v>363.61</v>
      </c>
      <c r="BA12" s="11">
        <f>Table26912142030405470829811243466130[[#This Row],[KM Rodado]]/Table26912142030405470829811243466130[[#This Row],[Consumo Lt]]</f>
        <v>3.0802233161904238</v>
      </c>
      <c r="BB12" s="11">
        <v>18.559999999999999</v>
      </c>
      <c r="BC12" s="13">
        <v>2426.0700000000002</v>
      </c>
      <c r="BE12" s="8"/>
      <c r="BG12" s="72"/>
      <c r="BH12" s="9"/>
      <c r="BI12" s="5"/>
      <c r="BJ12" s="5"/>
      <c r="BK12" s="10"/>
      <c r="BL12" s="5"/>
      <c r="BM12" s="70"/>
      <c r="BN12" s="11"/>
      <c r="BO12" s="13"/>
      <c r="BQ12" s="8"/>
    </row>
    <row r="13" spans="1:69">
      <c r="A13" s="72"/>
      <c r="B13" s="9"/>
      <c r="C13" s="5"/>
      <c r="D13" s="5"/>
      <c r="E13" s="10"/>
      <c r="F13" s="5"/>
      <c r="G13" s="13"/>
      <c r="H13" s="11"/>
      <c r="I13" s="13"/>
      <c r="K13" s="8"/>
      <c r="M13" s="9"/>
      <c r="N13" s="5"/>
      <c r="O13" s="5"/>
      <c r="P13" s="10"/>
      <c r="Q13" s="5"/>
      <c r="R13" s="11"/>
      <c r="S13" s="11"/>
      <c r="T13" s="13"/>
      <c r="V13" s="8"/>
      <c r="X13" s="72"/>
      <c r="Y13" s="9"/>
      <c r="Z13" s="5"/>
      <c r="AA13" s="5"/>
      <c r="AB13" s="10"/>
      <c r="AC13" s="5"/>
      <c r="AD13" s="11"/>
      <c r="AE13" s="11"/>
      <c r="AF13" s="13"/>
      <c r="AH13" s="8"/>
      <c r="AJ13" s="9"/>
      <c r="AK13" s="15">
        <f t="shared" si="1"/>
        <v>658133</v>
      </c>
      <c r="AL13" s="5"/>
      <c r="AM13" s="10"/>
      <c r="AN13" s="5"/>
      <c r="AO13" s="11"/>
      <c r="AP13" s="11"/>
      <c r="AQ13" s="13"/>
      <c r="AS13" s="8"/>
      <c r="AU13" s="72"/>
      <c r="AV13" s="9"/>
      <c r="AW13" s="15">
        <f t="shared" si="2"/>
        <v>671779</v>
      </c>
      <c r="AX13" s="5"/>
      <c r="AY13" s="10"/>
      <c r="AZ13" s="5"/>
      <c r="BA13" s="11"/>
      <c r="BB13" s="11"/>
      <c r="BC13" s="13"/>
      <c r="BE13" s="8"/>
      <c r="BG13" s="72"/>
      <c r="BH13" s="9"/>
      <c r="BI13" s="5"/>
      <c r="BJ13" s="5"/>
      <c r="BK13" s="10"/>
      <c r="BL13" s="5"/>
      <c r="BM13" s="70"/>
      <c r="BN13" s="11"/>
      <c r="BO13" s="13"/>
      <c r="BQ13" s="8"/>
    </row>
    <row r="14" spans="1:69">
      <c r="A14" s="72"/>
      <c r="B14" s="9"/>
      <c r="C14" s="5"/>
      <c r="D14" s="5"/>
      <c r="E14" s="10"/>
      <c r="F14" s="5"/>
      <c r="G14" s="13"/>
      <c r="H14" s="11"/>
      <c r="I14" s="13"/>
      <c r="K14" s="14"/>
      <c r="M14" s="9"/>
      <c r="N14" s="5"/>
      <c r="O14" s="5"/>
      <c r="P14" s="10"/>
      <c r="Q14" s="5"/>
      <c r="R14" s="11"/>
      <c r="S14" s="11"/>
      <c r="T14" s="13"/>
      <c r="V14" s="14"/>
      <c r="X14" s="72"/>
      <c r="Y14" s="9"/>
      <c r="Z14" s="5"/>
      <c r="AA14" s="5"/>
      <c r="AB14" s="10"/>
      <c r="AC14" s="5"/>
      <c r="AD14" s="11"/>
      <c r="AE14" s="11"/>
      <c r="AF14" s="13"/>
      <c r="AH14" s="14"/>
      <c r="AJ14" s="9"/>
      <c r="AK14" s="5"/>
      <c r="AL14" s="5"/>
      <c r="AM14" s="10"/>
      <c r="AN14" s="5"/>
      <c r="AO14" s="11"/>
      <c r="AP14" s="11"/>
      <c r="AQ14" s="13"/>
      <c r="AS14" s="14"/>
      <c r="AU14" s="72"/>
      <c r="AV14" s="9"/>
      <c r="AW14" s="5"/>
      <c r="AX14" s="5"/>
      <c r="AY14" s="10"/>
      <c r="AZ14" s="5"/>
      <c r="BA14" s="11"/>
      <c r="BB14" s="11"/>
      <c r="BC14" s="13"/>
      <c r="BE14" s="14"/>
      <c r="BG14" s="72"/>
      <c r="BH14" s="9"/>
      <c r="BI14" s="5"/>
      <c r="BJ14" s="5"/>
      <c r="BK14" s="10"/>
      <c r="BL14" s="5"/>
      <c r="BM14" s="70"/>
      <c r="BN14" s="11"/>
      <c r="BO14" s="13"/>
      <c r="BQ14" s="14"/>
    </row>
    <row r="15" spans="1:69">
      <c r="A15" s="72"/>
      <c r="B15" s="9"/>
      <c r="C15" s="15"/>
      <c r="D15" s="5"/>
      <c r="E15" s="10"/>
      <c r="F15" s="5"/>
      <c r="G15" s="13"/>
      <c r="H15" s="11"/>
      <c r="I15" s="13"/>
      <c r="K15" s="8"/>
      <c r="M15" s="9"/>
      <c r="N15" s="15"/>
      <c r="O15" s="5"/>
      <c r="P15" s="10"/>
      <c r="Q15" s="5"/>
      <c r="R15" s="11"/>
      <c r="S15" s="11"/>
      <c r="T15" s="13"/>
      <c r="V15" s="8"/>
      <c r="X15" s="72"/>
      <c r="Y15" s="9"/>
      <c r="Z15" s="15"/>
      <c r="AA15" s="5"/>
      <c r="AB15" s="10"/>
      <c r="AC15" s="5"/>
      <c r="AD15" s="11"/>
      <c r="AE15" s="11"/>
      <c r="AF15" s="13"/>
      <c r="AH15" s="8"/>
      <c r="AJ15" s="9"/>
      <c r="AK15" s="15"/>
      <c r="AL15" s="5"/>
      <c r="AM15" s="10"/>
      <c r="AN15" s="5"/>
      <c r="AO15" s="11"/>
      <c r="AP15" s="11"/>
      <c r="AQ15" s="13"/>
      <c r="AS15" s="8"/>
      <c r="AU15" s="72"/>
      <c r="AV15" s="9"/>
      <c r="AW15" s="15"/>
      <c r="AX15" s="5"/>
      <c r="AY15" s="10"/>
      <c r="AZ15" s="5"/>
      <c r="BA15" s="11"/>
      <c r="BB15" s="11"/>
      <c r="BC15" s="13"/>
      <c r="BE15" s="8"/>
      <c r="BG15" s="72"/>
      <c r="BH15" s="9"/>
      <c r="BI15" s="15"/>
      <c r="BJ15" s="5"/>
      <c r="BK15" s="10"/>
      <c r="BL15" s="5"/>
      <c r="BM15" s="70"/>
      <c r="BN15" s="11"/>
      <c r="BO15" s="13"/>
      <c r="BQ15" s="8"/>
    </row>
    <row r="16" spans="1:69">
      <c r="A16" s="72"/>
      <c r="B16" s="5"/>
      <c r="C16" s="15"/>
      <c r="D16" s="5"/>
      <c r="E16" s="10"/>
      <c r="F16" s="5"/>
      <c r="G16" s="13"/>
      <c r="H16" s="11"/>
      <c r="I16" s="13"/>
      <c r="K16" s="8"/>
      <c r="M16" s="5"/>
      <c r="N16" s="15"/>
      <c r="O16" s="5"/>
      <c r="P16" s="10"/>
      <c r="Q16" s="5"/>
      <c r="R16" s="11"/>
      <c r="S16" s="11"/>
      <c r="T16" s="13"/>
      <c r="V16" s="8"/>
      <c r="X16" s="72"/>
      <c r="Y16" s="5"/>
      <c r="Z16" s="15"/>
      <c r="AA16" s="5"/>
      <c r="AB16" s="10"/>
      <c r="AC16" s="5"/>
      <c r="AD16" s="11"/>
      <c r="AE16" s="11"/>
      <c r="AF16" s="13"/>
      <c r="AH16" s="8"/>
      <c r="AJ16" s="5"/>
      <c r="AK16" s="15"/>
      <c r="AL16" s="5"/>
      <c r="AM16" s="10"/>
      <c r="AN16" s="5"/>
      <c r="AO16" s="11"/>
      <c r="AP16" s="11"/>
      <c r="AQ16" s="13"/>
      <c r="AS16" s="8"/>
      <c r="AU16" s="72"/>
      <c r="AV16" s="5"/>
      <c r="AW16" s="15"/>
      <c r="AX16" s="5"/>
      <c r="AY16" s="10"/>
      <c r="AZ16" s="5"/>
      <c r="BA16" s="11"/>
      <c r="BB16" s="11"/>
      <c r="BC16" s="13"/>
      <c r="BE16" s="8"/>
      <c r="BG16" s="72"/>
      <c r="BH16" s="5"/>
      <c r="BI16" s="15"/>
      <c r="BJ16" s="5"/>
      <c r="BK16" s="10"/>
      <c r="BL16" s="5"/>
      <c r="BM16" s="70"/>
      <c r="BN16" s="11"/>
      <c r="BO16" s="13"/>
      <c r="BQ16" s="8"/>
    </row>
    <row r="17" spans="1:69">
      <c r="A17" s="72"/>
      <c r="B17" s="5"/>
      <c r="C17" s="15"/>
      <c r="D17" s="5"/>
      <c r="E17" s="10"/>
      <c r="F17" s="5"/>
      <c r="G17" s="13"/>
      <c r="H17" s="11"/>
      <c r="I17" s="13"/>
      <c r="K17" s="8"/>
      <c r="M17" s="5"/>
      <c r="N17" s="15"/>
      <c r="O17" s="5"/>
      <c r="P17" s="10"/>
      <c r="Q17" s="5"/>
      <c r="R17" s="11"/>
      <c r="S17" s="11"/>
      <c r="T17" s="13"/>
      <c r="V17" s="8"/>
      <c r="X17" s="72"/>
      <c r="Y17" s="5"/>
      <c r="Z17" s="15"/>
      <c r="AA17" s="5"/>
      <c r="AB17" s="10"/>
      <c r="AC17" s="5"/>
      <c r="AD17" s="11"/>
      <c r="AE17" s="11"/>
      <c r="AF17" s="13"/>
      <c r="AH17" s="8"/>
      <c r="AJ17" s="5"/>
      <c r="AK17" s="15"/>
      <c r="AL17" s="5"/>
      <c r="AM17" s="10"/>
      <c r="AN17" s="5"/>
      <c r="AO17" s="11"/>
      <c r="AP17" s="11"/>
      <c r="AQ17" s="13"/>
      <c r="AS17" s="8"/>
      <c r="AU17" s="72"/>
      <c r="AV17" s="5"/>
      <c r="AW17" s="15"/>
      <c r="AX17" s="5"/>
      <c r="AY17" s="10"/>
      <c r="AZ17" s="5"/>
      <c r="BA17" s="11"/>
      <c r="BB17" s="11"/>
      <c r="BC17" s="13"/>
      <c r="BE17" s="8"/>
      <c r="BG17" s="72"/>
      <c r="BH17" s="5"/>
      <c r="BI17" s="15"/>
      <c r="BJ17" s="5"/>
      <c r="BK17" s="10"/>
      <c r="BL17" s="5"/>
      <c r="BM17" s="70"/>
      <c r="BN17" s="11"/>
      <c r="BO17" s="13"/>
      <c r="BQ17" s="8"/>
    </row>
    <row r="18" spans="1:69">
      <c r="A18" s="72"/>
      <c r="B18" s="5"/>
      <c r="C18" s="15"/>
      <c r="D18" s="5"/>
      <c r="E18" s="10"/>
      <c r="F18" s="5"/>
      <c r="G18" s="13"/>
      <c r="H18" s="11"/>
      <c r="I18" s="13"/>
      <c r="K18" s="8"/>
      <c r="M18" s="5"/>
      <c r="N18" s="15"/>
      <c r="O18" s="5"/>
      <c r="P18" s="10"/>
      <c r="Q18" s="5"/>
      <c r="R18" s="11"/>
      <c r="S18" s="11"/>
      <c r="T18" s="13"/>
      <c r="V18" s="8"/>
      <c r="X18" s="72"/>
      <c r="Y18" s="5"/>
      <c r="Z18" s="15"/>
      <c r="AA18" s="5"/>
      <c r="AB18" s="10"/>
      <c r="AC18" s="5"/>
      <c r="AD18" s="11"/>
      <c r="AE18" s="11"/>
      <c r="AF18" s="13"/>
      <c r="AH18" s="8"/>
      <c r="AJ18" s="5"/>
      <c r="AK18" s="15"/>
      <c r="AL18" s="5"/>
      <c r="AM18" s="10"/>
      <c r="AN18" s="5"/>
      <c r="AO18" s="11"/>
      <c r="AP18" s="11"/>
      <c r="AQ18" s="13"/>
      <c r="AS18" s="8"/>
      <c r="AU18" s="72"/>
      <c r="AV18" s="5"/>
      <c r="AW18" s="15"/>
      <c r="AX18" s="5"/>
      <c r="AY18" s="10"/>
      <c r="AZ18" s="5"/>
      <c r="BA18" s="11"/>
      <c r="BB18" s="11"/>
      <c r="BC18" s="13"/>
      <c r="BE18" s="8"/>
      <c r="BG18" s="72"/>
      <c r="BH18" s="5"/>
      <c r="BI18" s="15"/>
      <c r="BJ18" s="5"/>
      <c r="BK18" s="10"/>
      <c r="BL18" s="5"/>
      <c r="BM18" s="70"/>
      <c r="BN18" s="11"/>
      <c r="BO18" s="13"/>
      <c r="BQ18" s="8"/>
    </row>
    <row r="19" spans="1:69">
      <c r="A19" s="72"/>
      <c r="B19" s="5"/>
      <c r="C19" s="15"/>
      <c r="D19" s="5"/>
      <c r="E19" s="10"/>
      <c r="F19" s="5"/>
      <c r="G19" s="13"/>
      <c r="H19" s="11"/>
      <c r="I19" s="13"/>
      <c r="K19" s="8"/>
      <c r="M19" s="5"/>
      <c r="N19" s="15"/>
      <c r="O19" s="5"/>
      <c r="P19" s="10"/>
      <c r="Q19" s="5"/>
      <c r="R19" s="11"/>
      <c r="S19" s="11"/>
      <c r="T19" s="13"/>
      <c r="V19" s="8"/>
      <c r="X19" s="72"/>
      <c r="Y19" s="5"/>
      <c r="Z19" s="15"/>
      <c r="AA19" s="5"/>
      <c r="AB19" s="10"/>
      <c r="AC19" s="5"/>
      <c r="AD19" s="11"/>
      <c r="AE19" s="11"/>
      <c r="AF19" s="13"/>
      <c r="AH19" s="8"/>
      <c r="AJ19" s="5"/>
      <c r="AK19" s="15"/>
      <c r="AL19" s="5"/>
      <c r="AM19" s="10"/>
      <c r="AN19" s="5"/>
      <c r="AO19" s="11"/>
      <c r="AP19" s="11"/>
      <c r="AQ19" s="13"/>
      <c r="AS19" s="8"/>
      <c r="AU19" s="72"/>
      <c r="AV19" s="5"/>
      <c r="AW19" s="15"/>
      <c r="AX19" s="5"/>
      <c r="AY19" s="10"/>
      <c r="AZ19" s="5"/>
      <c r="BA19" s="11"/>
      <c r="BB19" s="11"/>
      <c r="BC19" s="13"/>
      <c r="BE19" s="8"/>
      <c r="BG19" s="72"/>
      <c r="BH19" s="5"/>
      <c r="BI19" s="15"/>
      <c r="BJ19" s="5"/>
      <c r="BK19" s="10"/>
      <c r="BL19" s="5"/>
      <c r="BM19" s="70"/>
      <c r="BN19" s="11"/>
      <c r="BO19" s="13"/>
      <c r="BQ19" s="8"/>
    </row>
    <row r="20" spans="1:69">
      <c r="A20" s="72"/>
      <c r="B20" s="22"/>
      <c r="C20" s="22"/>
      <c r="D20" s="23"/>
      <c r="E20" s="23"/>
      <c r="F20" s="23"/>
      <c r="G20" s="22"/>
      <c r="H20" s="22"/>
      <c r="I20" s="22"/>
      <c r="J20" s="21" t="s">
        <v>10</v>
      </c>
      <c r="K20" s="21">
        <f>SUM(K3:K19)</f>
        <v>682</v>
      </c>
      <c r="M20" s="22"/>
      <c r="N20" s="22"/>
      <c r="O20" s="23"/>
      <c r="P20" s="23">
        <f>SUM(P3:P19)</f>
        <v>627087</v>
      </c>
      <c r="Q20" s="23">
        <f>SUM(Q3:Q19)</f>
        <v>2782.77</v>
      </c>
      <c r="R20" s="30">
        <f>Table2691214203040547082981124[[#This Row],[KM Rodado]]/Table2691214203040547082981124[[#This Row],[Consumo Lt]]</f>
        <v>225.34632758007311</v>
      </c>
      <c r="S20" s="30">
        <f>SUM(S3:S19)</f>
        <v>174.89</v>
      </c>
      <c r="T20" s="22">
        <f>SUM(T3:T19)</f>
        <v>15884.699999999999</v>
      </c>
      <c r="U20" s="21" t="s">
        <v>10</v>
      </c>
      <c r="V20" s="21">
        <f>SUM(V3:V19)</f>
        <v>3762</v>
      </c>
      <c r="X20" s="72"/>
      <c r="Y20" s="22"/>
      <c r="Z20" s="22"/>
      <c r="AA20" s="23"/>
      <c r="AB20" s="23">
        <f>SUM(AB3:AB19)</f>
        <v>8893</v>
      </c>
      <c r="AC20" s="23">
        <f>SUM(AC3:AC19)</f>
        <v>3221.6299999999997</v>
      </c>
      <c r="AD20" s="30">
        <f>Table269121420304054708298112434[[#This Row],[KM Rodado]]/Table269121420304054708298112434[[#This Row],[Consumo Lt]]</f>
        <v>2.760403894922757</v>
      </c>
      <c r="AE20" s="30">
        <f>SUM(AE3:AE19)</f>
        <v>138.01999999999998</v>
      </c>
      <c r="AF20" s="22">
        <f>SUM(AF3:AF19)</f>
        <v>21265.51</v>
      </c>
      <c r="AG20" s="21" t="s">
        <v>10</v>
      </c>
      <c r="AH20" s="21">
        <f>SUM(AH3:AH19)</f>
        <v>682</v>
      </c>
      <c r="AJ20" s="22"/>
      <c r="AK20" s="22"/>
      <c r="AL20" s="23"/>
      <c r="AM20" s="23">
        <f>SUM(AM3:AM19)</f>
        <v>14093</v>
      </c>
      <c r="AN20" s="23">
        <f>SUM(AN3:AN19)</f>
        <v>4604.6899999999996</v>
      </c>
      <c r="AO20" s="30">
        <f>Table26912142030405470829811243466[[#This Row],[KM Rodado]]/Table26912142030405470829811243466[[#This Row],[Consumo Lt]]</f>
        <v>3.0605751961586996</v>
      </c>
      <c r="AP20" s="30">
        <f>SUM(AP3:AP19)</f>
        <v>228.42999999999995</v>
      </c>
      <c r="AQ20" s="22">
        <f>SUM(AQ3:AQ19)</f>
        <v>31677.460000000003</v>
      </c>
      <c r="AR20" s="21" t="s">
        <v>10</v>
      </c>
      <c r="AS20" s="21">
        <f>SUM(AS3:AS19)</f>
        <v>794.49</v>
      </c>
      <c r="AU20" s="72"/>
      <c r="AV20" s="22"/>
      <c r="AW20" s="22"/>
      <c r="AX20" s="23"/>
      <c r="AY20" s="23">
        <f>AW13-AW3</f>
        <v>13646</v>
      </c>
      <c r="AZ20" s="23">
        <f>SUM(AZ3:AZ19)</f>
        <v>4427.6899999999996</v>
      </c>
      <c r="BA20" s="30">
        <f>Table26912142030405470829811243466130[[#This Row],[KM Rodado]]/Table26912142030405470829811243466130[[#This Row],[Consumo Lt]]</f>
        <v>3.0819682498097203</v>
      </c>
      <c r="BB20" s="30">
        <f>SUM(BB3:BB19)</f>
        <v>234.79999999999998</v>
      </c>
      <c r="BC20" s="22">
        <f>SUM(BC3:BC19)</f>
        <v>29524.460000000003</v>
      </c>
      <c r="BD20" s="21" t="s">
        <v>10</v>
      </c>
      <c r="BE20" s="21">
        <f>SUM(BE3:BE19)</f>
        <v>8232</v>
      </c>
      <c r="BG20" s="72"/>
      <c r="BH20" s="22"/>
      <c r="BI20" s="22"/>
      <c r="BJ20" s="23"/>
      <c r="BK20" s="23">
        <f>BI7-BI3</f>
        <v>6205</v>
      </c>
      <c r="BL20" s="30">
        <f>SUM(BL3:BL19)</f>
        <v>2186.52</v>
      </c>
      <c r="BM20" s="30">
        <f>Table26912142030405470829811252[[#This Row],[KM Rodado]]/Table26912142030405470829811252[[#This Row],[Consumo Lt]]</f>
        <v>2.8378427821378263</v>
      </c>
      <c r="BN20" s="30">
        <f>SUM(BN3:BN19)</f>
        <v>89.86</v>
      </c>
      <c r="BO20" s="22">
        <f>SUM(BO3:BO19)</f>
        <v>14187.109999999999</v>
      </c>
      <c r="BP20" s="21" t="s">
        <v>10</v>
      </c>
      <c r="BQ20" s="21">
        <f>SUM(BQ3:BQ19)</f>
        <v>1882</v>
      </c>
    </row>
    <row r="24" spans="1:69" ht="33.75" customHeight="1">
      <c r="B24" s="71">
        <v>46023</v>
      </c>
      <c r="C24" s="71"/>
      <c r="D24" s="71"/>
      <c r="E24" s="71"/>
      <c r="F24" s="71"/>
      <c r="G24" s="71"/>
      <c r="H24" s="71"/>
      <c r="I24" s="71"/>
      <c r="J24" s="71"/>
      <c r="L24" s="73">
        <v>46054</v>
      </c>
      <c r="M24" s="73"/>
      <c r="N24" s="73"/>
      <c r="O24" s="73"/>
      <c r="P24" s="73"/>
      <c r="Q24" s="73"/>
      <c r="R24" s="73"/>
      <c r="S24" s="73"/>
      <c r="T24" s="73"/>
      <c r="W24" s="71">
        <v>46082</v>
      </c>
      <c r="X24" s="71"/>
      <c r="Y24" s="71"/>
      <c r="Z24" s="71"/>
      <c r="AA24" s="71"/>
      <c r="AB24" s="71"/>
      <c r="AC24" s="71"/>
      <c r="AD24" s="71"/>
      <c r="AE24" s="71"/>
      <c r="AF24" s="71"/>
      <c r="AI24" s="73">
        <v>46113</v>
      </c>
      <c r="AJ24" s="73"/>
      <c r="AK24" s="73"/>
      <c r="AL24" s="73"/>
      <c r="AM24" s="73"/>
      <c r="AN24" s="73"/>
      <c r="AO24" s="73"/>
      <c r="AP24" s="73"/>
      <c r="AQ24" s="73"/>
      <c r="AU24" s="73">
        <v>46143</v>
      </c>
      <c r="AV24" s="73"/>
      <c r="AW24" s="73"/>
      <c r="AX24" s="73"/>
      <c r="AY24" s="73"/>
      <c r="AZ24" s="73"/>
      <c r="BA24" s="73"/>
      <c r="BB24" s="73"/>
      <c r="BC24" s="73"/>
      <c r="BH24" s="71">
        <v>46174</v>
      </c>
      <c r="BI24" s="71"/>
      <c r="BJ24" s="71"/>
      <c r="BK24" s="71"/>
      <c r="BL24" s="71"/>
      <c r="BM24" s="71"/>
      <c r="BN24" s="71"/>
      <c r="BO24" s="71"/>
      <c r="BP24" s="71"/>
    </row>
    <row r="25" spans="1:69">
      <c r="A25" s="1" t="s">
        <v>11</v>
      </c>
      <c r="B25" s="1" t="s">
        <v>0</v>
      </c>
      <c r="C25" s="1" t="s">
        <v>1</v>
      </c>
      <c r="D25" s="1" t="s">
        <v>2</v>
      </c>
      <c r="E25" s="1" t="s">
        <v>3</v>
      </c>
      <c r="F25" s="1" t="s">
        <v>4</v>
      </c>
      <c r="G25" s="1" t="s">
        <v>5</v>
      </c>
      <c r="H25" s="17" t="s">
        <v>21</v>
      </c>
      <c r="I25" s="2" t="s">
        <v>6</v>
      </c>
      <c r="J25" s="3" t="s">
        <v>7</v>
      </c>
      <c r="K25" s="4" t="s">
        <v>6</v>
      </c>
      <c r="M25" s="1" t="s">
        <v>0</v>
      </c>
      <c r="N25" s="1" t="s">
        <v>1</v>
      </c>
      <c r="O25" s="1" t="s">
        <v>2</v>
      </c>
      <c r="P25" s="1" t="s">
        <v>3</v>
      </c>
      <c r="Q25" s="1" t="s">
        <v>4</v>
      </c>
      <c r="R25" s="1" t="s">
        <v>5</v>
      </c>
      <c r="S25" s="17" t="s">
        <v>21</v>
      </c>
      <c r="T25" s="2" t="s">
        <v>6</v>
      </c>
      <c r="U25" s="3" t="s">
        <v>7</v>
      </c>
      <c r="V25" s="4" t="s">
        <v>6</v>
      </c>
      <c r="X25" s="1" t="s">
        <v>11</v>
      </c>
      <c r="Y25" s="1" t="s">
        <v>0</v>
      </c>
      <c r="Z25" s="1" t="s">
        <v>1</v>
      </c>
      <c r="AA25" s="1" t="s">
        <v>2</v>
      </c>
      <c r="AB25" s="1" t="s">
        <v>3</v>
      </c>
      <c r="AC25" s="1" t="s">
        <v>4</v>
      </c>
      <c r="AD25" s="1" t="s">
        <v>5</v>
      </c>
      <c r="AE25" s="17" t="s">
        <v>21</v>
      </c>
      <c r="AF25" s="2" t="s">
        <v>6</v>
      </c>
      <c r="AG25" s="3" t="s">
        <v>7</v>
      </c>
      <c r="AH25" s="4" t="s">
        <v>6</v>
      </c>
      <c r="AJ25" s="1" t="s">
        <v>0</v>
      </c>
      <c r="AK25" s="1" t="s">
        <v>1</v>
      </c>
      <c r="AL25" s="1" t="s">
        <v>2</v>
      </c>
      <c r="AM25" s="1" t="s">
        <v>3</v>
      </c>
      <c r="AN25" s="1" t="s">
        <v>4</v>
      </c>
      <c r="AO25" s="1" t="s">
        <v>5</v>
      </c>
      <c r="AP25" s="17" t="s">
        <v>21</v>
      </c>
      <c r="AQ25" s="2" t="s">
        <v>6</v>
      </c>
      <c r="AR25" s="3" t="s">
        <v>7</v>
      </c>
      <c r="AS25" s="4" t="s">
        <v>6</v>
      </c>
      <c r="AU25" s="1" t="s">
        <v>11</v>
      </c>
      <c r="AV25" s="1" t="s">
        <v>0</v>
      </c>
      <c r="AW25" s="1" t="s">
        <v>1</v>
      </c>
      <c r="AX25" s="1" t="s">
        <v>2</v>
      </c>
      <c r="AY25" s="1" t="s">
        <v>3</v>
      </c>
      <c r="AZ25" s="1" t="s">
        <v>4</v>
      </c>
      <c r="BA25" s="1" t="s">
        <v>5</v>
      </c>
      <c r="BB25" s="17" t="s">
        <v>21</v>
      </c>
      <c r="BC25" s="2" t="s">
        <v>6</v>
      </c>
      <c r="BD25" s="3" t="s">
        <v>7</v>
      </c>
      <c r="BE25" s="4" t="s">
        <v>6</v>
      </c>
      <c r="BG25" s="1" t="s">
        <v>11</v>
      </c>
      <c r="BH25" s="1" t="s">
        <v>0</v>
      </c>
      <c r="BI25" s="1" t="s">
        <v>1</v>
      </c>
      <c r="BJ25" s="1" t="s">
        <v>2</v>
      </c>
      <c r="BK25" s="1" t="s">
        <v>3</v>
      </c>
      <c r="BL25" s="1" t="s">
        <v>4</v>
      </c>
      <c r="BM25" s="1" t="s">
        <v>5</v>
      </c>
      <c r="BN25" s="17" t="s">
        <v>21</v>
      </c>
      <c r="BO25" s="2" t="s">
        <v>6</v>
      </c>
      <c r="BP25" s="3" t="s">
        <v>7</v>
      </c>
      <c r="BQ25" s="4" t="s">
        <v>6</v>
      </c>
    </row>
    <row r="26" spans="1:69" ht="15" customHeight="1">
      <c r="A26" s="72" t="s">
        <v>13</v>
      </c>
      <c r="B26" s="16">
        <v>46027</v>
      </c>
      <c r="C26" s="10">
        <v>592267</v>
      </c>
      <c r="D26" s="10">
        <v>593559</v>
      </c>
      <c r="E26" s="10">
        <f>Table2691214203040547082981126[[#This Row],[KM Final]]-Table2691214203040547082981126[[#This Row],[KM Inicial]]</f>
        <v>1292</v>
      </c>
      <c r="F26" s="10">
        <v>396.7</v>
      </c>
      <c r="G26" s="11">
        <f>Table2691214203040547082981126[[#This Row],[KM Rodado]]/Table2691214203040547082981126[[#This Row],[Consumo Lt]]</f>
        <v>3.2568691706579278</v>
      </c>
      <c r="H26" s="18">
        <v>25.12</v>
      </c>
      <c r="I26" s="12">
        <v>2311.4299999999998</v>
      </c>
      <c r="J26" t="s">
        <v>8</v>
      </c>
      <c r="K26" s="8">
        <v>504</v>
      </c>
      <c r="M26" s="16">
        <v>46058</v>
      </c>
      <c r="N26" s="10">
        <v>607161</v>
      </c>
      <c r="O26" s="10">
        <v>608963</v>
      </c>
      <c r="P26" s="10">
        <f>Table26912142030405470829811248[[#This Row],[KM Final]]-Table26912142030405470829811248[[#This Row],[KM Inicial]]</f>
        <v>1802</v>
      </c>
      <c r="Q26" s="10">
        <v>584.1</v>
      </c>
      <c r="R26" s="11">
        <f>Table26912142030405470829811248[[#This Row],[KM Rodado]]/Table26912142030405470829811248[[#This Row],[Consumo Lt]]</f>
        <v>3.0850881698339325</v>
      </c>
      <c r="S26" s="11">
        <v>40</v>
      </c>
      <c r="T26" s="12">
        <v>3329.99</v>
      </c>
      <c r="U26" t="s">
        <v>8</v>
      </c>
      <c r="V26" s="8">
        <v>504</v>
      </c>
      <c r="X26" s="72" t="s">
        <v>13</v>
      </c>
      <c r="Y26" s="16">
        <v>46084</v>
      </c>
      <c r="Z26" s="10">
        <v>617694</v>
      </c>
      <c r="AA26" s="10">
        <v>619337</v>
      </c>
      <c r="AB26" s="10">
        <f>Table2691214203040547082981124836[[#This Row],[KM Final]]-Table2691214203040547082981124836[[#This Row],[KM Inicial]]</f>
        <v>1643</v>
      </c>
      <c r="AC26" s="10">
        <v>550</v>
      </c>
      <c r="AD26" s="11">
        <f>Table2691214203040547082981124836[[#This Row],[KM Rodado]]/Table2691214203040547082981124836[[#This Row],[Consumo Lt]]</f>
        <v>2.9872727272727273</v>
      </c>
      <c r="AE26" s="11">
        <v>19.399999999999999</v>
      </c>
      <c r="AF26" s="12">
        <v>3100.83</v>
      </c>
      <c r="AG26" t="s">
        <v>8</v>
      </c>
      <c r="AH26" s="8">
        <v>504</v>
      </c>
      <c r="AJ26" s="16">
        <v>46113</v>
      </c>
      <c r="AK26" s="10">
        <v>631994</v>
      </c>
      <c r="AL26" s="10">
        <v>633050</v>
      </c>
      <c r="AM26" s="10">
        <f>Table269121420304054708298112483668[[#This Row],[KM Final]]-Table269121420304054708298112483668[[#This Row],[KM Inicial]]</f>
        <v>1056</v>
      </c>
      <c r="AN26" s="10">
        <v>200</v>
      </c>
      <c r="AO26" s="11">
        <f>Table269121420304054708298112483668[[#This Row],[KM Rodado]]/Table269121420304054708298112483668[[#This Row],[Consumo Lt]]</f>
        <v>5.28</v>
      </c>
      <c r="AP26" s="11"/>
      <c r="AQ26" s="12">
        <v>1418</v>
      </c>
      <c r="AR26" t="s">
        <v>8</v>
      </c>
      <c r="AS26" s="8">
        <v>504</v>
      </c>
      <c r="AU26" s="72" t="s">
        <v>13</v>
      </c>
      <c r="AV26" s="16">
        <v>46148</v>
      </c>
      <c r="AW26" s="10">
        <v>645918</v>
      </c>
      <c r="AX26" s="10">
        <v>648174</v>
      </c>
      <c r="AY26" s="10">
        <f>Table269121420304054708298112483668132[[#This Row],[KM Final]]-Table269121420304054708298112483668132[[#This Row],[KM Inicial]]</f>
        <v>2256</v>
      </c>
      <c r="AZ26" s="10">
        <v>454.01</v>
      </c>
      <c r="BA26" s="11">
        <f>Table269121420304054708298112483668132[[#This Row],[KM Rodado]]/Table269121420304054708298112483668132[[#This Row],[Consumo Lt]]</f>
        <v>4.9690535450760995</v>
      </c>
      <c r="BB26" s="11">
        <v>16.45</v>
      </c>
      <c r="BC26" s="12">
        <v>3004.39</v>
      </c>
      <c r="BD26" t="s">
        <v>8</v>
      </c>
      <c r="BE26" s="8">
        <v>504</v>
      </c>
      <c r="BG26" s="72" t="s">
        <v>13</v>
      </c>
      <c r="BH26" s="16">
        <v>46178</v>
      </c>
      <c r="BI26" s="10">
        <v>660260</v>
      </c>
      <c r="BJ26" s="10">
        <v>661553</v>
      </c>
      <c r="BK26" s="10">
        <f>Table269121420304054708298112654[[#This Row],[KM Final]]-Table269121420304054708298112654[[#This Row],[KM Inicial]]</f>
        <v>1293</v>
      </c>
      <c r="BL26" s="10">
        <v>408</v>
      </c>
      <c r="BM26" s="11">
        <f>Table269121420304054708298112654[[#This Row],[KM Rodado]]/Table269121420304054708298112654[[#This Row],[Consumo Lt]]</f>
        <v>3.1691176470588234</v>
      </c>
      <c r="BN26" s="18"/>
      <c r="BO26" s="12">
        <v>2851.93</v>
      </c>
      <c r="BP26" t="s">
        <v>8</v>
      </c>
      <c r="BQ26" s="8">
        <v>504</v>
      </c>
    </row>
    <row r="27" spans="1:69">
      <c r="A27" s="72"/>
      <c r="B27" s="9">
        <v>46030</v>
      </c>
      <c r="C27" s="10">
        <f t="shared" ref="C27:C33" si="4">D26</f>
        <v>593559</v>
      </c>
      <c r="D27" s="5">
        <v>595335</v>
      </c>
      <c r="E27" s="10">
        <f>Table2691214203040547082981126[[#This Row],[KM Final]]-Table2691214203040547082981126[[#This Row],[KM Inicial]]</f>
        <v>1776</v>
      </c>
      <c r="F27" s="5">
        <v>610</v>
      </c>
      <c r="G27" s="11">
        <f>Table2691214203040547082981126[[#This Row],[KM Rodado]]/Table2691214203040547082981126[[#This Row],[Consumo Lt]]</f>
        <v>2.9114754098360658</v>
      </c>
      <c r="H27" s="18">
        <v>30</v>
      </c>
      <c r="I27" s="12">
        <v>3368.83</v>
      </c>
      <c r="J27" t="s">
        <v>20</v>
      </c>
      <c r="K27" s="8">
        <v>300</v>
      </c>
      <c r="M27" s="16">
        <v>46061</v>
      </c>
      <c r="N27" s="10">
        <f t="shared" ref="N27:N33" si="5">O26</f>
        <v>608963</v>
      </c>
      <c r="O27" s="10">
        <v>610801</v>
      </c>
      <c r="P27" s="10">
        <f>Table26912142030405470829811248[[#This Row],[KM Final]]-Table26912142030405470829811248[[#This Row],[KM Inicial]]</f>
        <v>1838</v>
      </c>
      <c r="Q27" s="10">
        <v>586</v>
      </c>
      <c r="R27" s="11">
        <f>Table26912142030405470829811248[[#This Row],[KM Rodado]]/Table26912142030405470829811248[[#This Row],[Consumo Lt]]</f>
        <v>3.1365187713310578</v>
      </c>
      <c r="S27" s="11">
        <v>30</v>
      </c>
      <c r="T27" s="12">
        <v>3318.42</v>
      </c>
      <c r="U27" t="s">
        <v>20</v>
      </c>
      <c r="V27" s="8">
        <v>300</v>
      </c>
      <c r="X27" s="72"/>
      <c r="Y27" s="16">
        <v>46090</v>
      </c>
      <c r="Z27" s="10">
        <f t="shared" ref="Z27:Z38" si="6">AA26</f>
        <v>619337</v>
      </c>
      <c r="AA27" s="10">
        <v>620397</v>
      </c>
      <c r="AB27" s="10">
        <f>Table2691214203040547082981124836[[#This Row],[KM Final]]-Table2691214203040547082981124836[[#This Row],[KM Inicial]]</f>
        <v>1060</v>
      </c>
      <c r="AC27" s="10">
        <v>358.01</v>
      </c>
      <c r="AD27" s="11">
        <f>Table2691214203040547082981124836[[#This Row],[KM Rodado]]/Table2691214203040547082981124836[[#This Row],[Consumo Lt]]</f>
        <v>2.9608111505265216</v>
      </c>
      <c r="AE27" s="11"/>
      <c r="AF27" s="12">
        <v>2101.52</v>
      </c>
      <c r="AG27" t="s">
        <v>20</v>
      </c>
      <c r="AH27" s="8">
        <v>300</v>
      </c>
      <c r="AJ27" s="16">
        <v>46113</v>
      </c>
      <c r="AK27" s="10">
        <f t="shared" ref="AK27:AK39" si="7">AL26</f>
        <v>633050</v>
      </c>
      <c r="AL27" s="10">
        <v>633633</v>
      </c>
      <c r="AM27" s="10">
        <f>Table269121420304054708298112483668[[#This Row],[KM Final]]-Table269121420304054708298112483668[[#This Row],[KM Inicial]]</f>
        <v>583</v>
      </c>
      <c r="AN27" s="10"/>
      <c r="AO27" s="11"/>
      <c r="AP27" s="11">
        <v>48.65</v>
      </c>
      <c r="AQ27" s="12">
        <v>155.19</v>
      </c>
      <c r="AR27" t="s">
        <v>20</v>
      </c>
      <c r="AS27" s="8">
        <v>300</v>
      </c>
      <c r="AU27" s="72"/>
      <c r="AV27" s="16">
        <v>46150</v>
      </c>
      <c r="AW27" s="10">
        <f t="shared" ref="AW27:AW36" si="8">AX26</f>
        <v>648174</v>
      </c>
      <c r="AX27" s="10">
        <v>650016</v>
      </c>
      <c r="AY27" s="10">
        <f>Table269121420304054708298112483668132[[#This Row],[KM Final]]-Table269121420304054708298112483668132[[#This Row],[KM Inicial]]</f>
        <v>1842</v>
      </c>
      <c r="AZ27" s="10">
        <v>540</v>
      </c>
      <c r="BA27" s="11">
        <f>Table269121420304054708298112483668132[[#This Row],[KM Rodado]]/Table269121420304054708298112483668132[[#This Row],[Consumo Lt]]</f>
        <v>3.411111111111111</v>
      </c>
      <c r="BB27" s="11"/>
      <c r="BC27" s="12">
        <v>3569.42</v>
      </c>
      <c r="BD27" t="s">
        <v>20</v>
      </c>
      <c r="BE27" s="8">
        <v>300</v>
      </c>
      <c r="BG27" s="72"/>
      <c r="BH27" s="9">
        <v>46180</v>
      </c>
      <c r="BI27" s="10">
        <f t="shared" ref="BI27:BI37" si="9">BJ26</f>
        <v>661553</v>
      </c>
      <c r="BJ27" s="5">
        <v>663312</v>
      </c>
      <c r="BK27" s="10">
        <f>Table269121420304054708298112654[[#This Row],[KM Final]]-Table269121420304054708298112654[[#This Row],[KM Inicial]]</f>
        <v>1759</v>
      </c>
      <c r="BL27" s="5">
        <v>516.42999999999995</v>
      </c>
      <c r="BM27" s="11">
        <f>Table269121420304054708298112654[[#This Row],[KM Rodado]]/Table269121420304054708298112654[[#This Row],[Consumo Lt]]</f>
        <v>3.406076331739055</v>
      </c>
      <c r="BN27" s="18"/>
      <c r="BO27" s="12">
        <v>3351.63</v>
      </c>
      <c r="BP27" t="s">
        <v>20</v>
      </c>
      <c r="BQ27" s="8">
        <v>300</v>
      </c>
    </row>
    <row r="28" spans="1:69">
      <c r="A28" s="72"/>
      <c r="B28" s="9">
        <v>46032</v>
      </c>
      <c r="C28" s="10">
        <f t="shared" si="4"/>
        <v>595335</v>
      </c>
      <c r="D28" s="5">
        <v>596663</v>
      </c>
      <c r="E28" s="10">
        <f>Table2691214203040547082981126[[#This Row],[KM Final]]-Table2691214203040547082981126[[#This Row],[KM Inicial]]</f>
        <v>1328</v>
      </c>
      <c r="F28" s="5">
        <v>478.01</v>
      </c>
      <c r="G28" s="11">
        <f>Table2691214203040547082981126[[#This Row],[KM Rodado]]/Table2691214203040547082981126[[#This Row],[Consumo Lt]]</f>
        <v>2.7781845568084349</v>
      </c>
      <c r="H28" s="18">
        <v>30</v>
      </c>
      <c r="I28" s="13">
        <v>2769.59</v>
      </c>
      <c r="J28" t="s">
        <v>22</v>
      </c>
      <c r="K28" s="8">
        <v>250</v>
      </c>
      <c r="M28" s="16">
        <v>46064</v>
      </c>
      <c r="N28" s="10">
        <f t="shared" si="5"/>
        <v>610801</v>
      </c>
      <c r="O28" s="10">
        <v>612191</v>
      </c>
      <c r="P28" s="10">
        <f>Table26912142030405470829811248[[#This Row],[KM Final]]-Table26912142030405470829811248[[#This Row],[KM Inicial]]</f>
        <v>1390</v>
      </c>
      <c r="Q28" s="10">
        <v>453</v>
      </c>
      <c r="R28" s="11">
        <f>Table26912142030405470829811248[[#This Row],[KM Rodado]]/Table26912142030405470829811248[[#This Row],[Consumo Lt]]</f>
        <v>3.0684326710816778</v>
      </c>
      <c r="S28" s="11">
        <v>35</v>
      </c>
      <c r="T28" s="12">
        <v>2598.21</v>
      </c>
      <c r="U28" t="s">
        <v>25</v>
      </c>
      <c r="V28" s="8">
        <v>400</v>
      </c>
      <c r="X28" s="72"/>
      <c r="Y28" s="16">
        <v>46094</v>
      </c>
      <c r="Z28" s="10">
        <f t="shared" si="6"/>
        <v>620397</v>
      </c>
      <c r="AA28" s="10">
        <v>622803</v>
      </c>
      <c r="AB28" s="10">
        <f>Table2691214203040547082981124836[[#This Row],[KM Final]]-Table2691214203040547082981124836[[#This Row],[KM Inicial]]</f>
        <v>2406</v>
      </c>
      <c r="AC28" s="10">
        <v>470</v>
      </c>
      <c r="AD28" s="11">
        <f>Table2691214203040547082981124836[[#This Row],[KM Rodado]]/Table2691214203040547082981124836[[#This Row],[Consumo Lt]]</f>
        <v>5.1191489361702125</v>
      </c>
      <c r="AE28" s="11"/>
      <c r="AF28" s="12">
        <v>2820</v>
      </c>
      <c r="AG28" t="s">
        <v>72</v>
      </c>
      <c r="AH28" s="8">
        <v>300</v>
      </c>
      <c r="AJ28" s="16">
        <v>46114</v>
      </c>
      <c r="AK28" s="10">
        <f t="shared" si="7"/>
        <v>633633</v>
      </c>
      <c r="AL28" s="10">
        <v>634077</v>
      </c>
      <c r="AM28" s="10">
        <f>Table269121420304054708298112483668[[#This Row],[KM Final]]-Table269121420304054708298112483668[[#This Row],[KM Inicial]]</f>
        <v>444</v>
      </c>
      <c r="AN28" s="10">
        <v>540.02</v>
      </c>
      <c r="AO28" s="11">
        <f>Table269121420304054708298112483668[[#This Row],[KM Rodado]]/Table269121420304054708298112483668[[#This Row],[Consumo Lt]]</f>
        <v>0.82219177067516025</v>
      </c>
      <c r="AP28" s="11"/>
      <c r="AQ28" s="12">
        <v>3780</v>
      </c>
      <c r="AR28" t="s">
        <v>62</v>
      </c>
      <c r="AS28" s="8">
        <v>70</v>
      </c>
      <c r="AU28" s="72"/>
      <c r="AV28" s="16">
        <v>46152</v>
      </c>
      <c r="AW28" s="10">
        <f t="shared" si="8"/>
        <v>650016</v>
      </c>
      <c r="AX28" s="10">
        <v>651100</v>
      </c>
      <c r="AY28" s="10">
        <f>Table269121420304054708298112483668132[[#This Row],[KM Final]]-Table269121420304054708298112483668132[[#This Row],[KM Inicial]]</f>
        <v>1084</v>
      </c>
      <c r="AZ28" s="10">
        <v>364.18</v>
      </c>
      <c r="BA28" s="11">
        <f>Table269121420304054708298112483668132[[#This Row],[KM Rodado]]/Table269121420304054708298112483668132[[#This Row],[Consumo Lt]]</f>
        <v>2.9765500576637924</v>
      </c>
      <c r="BB28" s="11"/>
      <c r="BC28" s="12">
        <v>2399.9899999999998</v>
      </c>
      <c r="BE28" s="8"/>
      <c r="BG28" s="72"/>
      <c r="BH28" s="9">
        <v>46182</v>
      </c>
      <c r="BI28" s="10">
        <f t="shared" si="9"/>
        <v>663312</v>
      </c>
      <c r="BJ28" s="5">
        <v>664497</v>
      </c>
      <c r="BK28" s="10">
        <f>Table269121420304054708298112654[[#This Row],[KM Final]]-Table269121420304054708298112654[[#This Row],[KM Inicial]]</f>
        <v>1185</v>
      </c>
      <c r="BL28" s="5">
        <v>345.01</v>
      </c>
      <c r="BM28" s="11">
        <f>Table269121420304054708298112654[[#This Row],[KM Rodado]]/Table269121420304054708298112654[[#This Row],[Consumo Lt]]</f>
        <v>3.4346830526651404</v>
      </c>
      <c r="BN28" s="18"/>
      <c r="BO28" s="13">
        <v>2208.06</v>
      </c>
      <c r="BP28" t="s">
        <v>121</v>
      </c>
      <c r="BQ28" s="8">
        <v>2500</v>
      </c>
    </row>
    <row r="29" spans="1:69">
      <c r="A29" s="72"/>
      <c r="B29" s="9">
        <v>46033</v>
      </c>
      <c r="C29" s="10">
        <f t="shared" si="4"/>
        <v>596663</v>
      </c>
      <c r="D29" s="5">
        <v>597706</v>
      </c>
      <c r="E29" s="10">
        <f>Table2691214203040547082981126[[#This Row],[KM Final]]-Table2691214203040547082981126[[#This Row],[KM Inicial]]</f>
        <v>1043</v>
      </c>
      <c r="F29" s="5">
        <v>346.01</v>
      </c>
      <c r="G29" s="11">
        <f>Table2691214203040547082981126[[#This Row],[KM Rodado]]/Table2691214203040547082981126[[#This Row],[Consumo Lt]]</f>
        <v>3.0143637467125228</v>
      </c>
      <c r="H29" s="18">
        <v>10</v>
      </c>
      <c r="I29" s="13">
        <v>1968.55</v>
      </c>
      <c r="K29" s="14"/>
      <c r="M29" s="16">
        <v>46072</v>
      </c>
      <c r="N29" s="10">
        <f t="shared" si="5"/>
        <v>612191</v>
      </c>
      <c r="O29" s="10">
        <v>613886</v>
      </c>
      <c r="P29" s="10">
        <f>Table26912142030405470829811248[[#This Row],[KM Final]]-Table26912142030405470829811248[[#This Row],[KM Inicial]]</f>
        <v>1695</v>
      </c>
      <c r="Q29" s="10">
        <v>577</v>
      </c>
      <c r="R29" s="11">
        <f>Table26912142030405470829811248[[#This Row],[KM Rodado]]/Table26912142030405470829811248[[#This Row],[Consumo Lt]]</f>
        <v>2.9376083188908146</v>
      </c>
      <c r="S29" s="11">
        <v>42.37</v>
      </c>
      <c r="T29" s="12">
        <v>3330.94</v>
      </c>
      <c r="U29" t="s">
        <v>56</v>
      </c>
      <c r="V29" s="14">
        <v>1500</v>
      </c>
      <c r="X29" s="72"/>
      <c r="Y29" s="16">
        <v>46098</v>
      </c>
      <c r="Z29" s="10">
        <f t="shared" si="6"/>
        <v>622803</v>
      </c>
      <c r="AA29" s="10">
        <v>624584</v>
      </c>
      <c r="AB29" s="10">
        <f>Table2691214203040547082981124836[[#This Row],[KM Final]]-Table2691214203040547082981124836[[#This Row],[KM Inicial]]</f>
        <v>1781</v>
      </c>
      <c r="AC29" s="10">
        <v>100</v>
      </c>
      <c r="AD29" s="11">
        <f>Table2691214203040547082981124836[[#This Row],[KM Rodado]]/Table2691214203040547082981124836[[#This Row],[Consumo Lt]]</f>
        <v>17.809999999999999</v>
      </c>
      <c r="AE29" s="11"/>
      <c r="AF29" s="12">
        <v>759</v>
      </c>
      <c r="AG29" t="s">
        <v>73</v>
      </c>
      <c r="AH29" s="14">
        <v>700</v>
      </c>
      <c r="AJ29" s="16">
        <v>46120</v>
      </c>
      <c r="AK29" s="10">
        <f t="shared" si="7"/>
        <v>634077</v>
      </c>
      <c r="AL29" s="10">
        <v>635685</v>
      </c>
      <c r="AM29" s="10">
        <f>Table269121420304054708298112483668[[#This Row],[KM Final]]-Table269121420304054708298112483668[[#This Row],[KM Inicial]]</f>
        <v>1608</v>
      </c>
      <c r="AN29" s="10">
        <v>600.52</v>
      </c>
      <c r="AO29" s="11">
        <f>Table269121420304054708298112483668[[#This Row],[KM Rodado]]/Table269121420304054708298112483668[[#This Row],[Consumo Lt]]</f>
        <v>2.6776793445680411</v>
      </c>
      <c r="AP29" s="11"/>
      <c r="AQ29" s="12">
        <v>4257.7</v>
      </c>
      <c r="AR29" t="s">
        <v>92</v>
      </c>
      <c r="AS29" s="14">
        <v>3000</v>
      </c>
      <c r="AU29" s="72"/>
      <c r="AV29" s="16">
        <v>46155</v>
      </c>
      <c r="AW29" s="10">
        <f t="shared" si="8"/>
        <v>651100</v>
      </c>
      <c r="AX29" s="10">
        <v>652710</v>
      </c>
      <c r="AY29" s="10">
        <f>Table269121420304054708298112483668132[[#This Row],[KM Final]]-Table269121420304054708298112483668132[[#This Row],[KM Inicial]]</f>
        <v>1610</v>
      </c>
      <c r="AZ29" s="10">
        <v>200</v>
      </c>
      <c r="BA29" s="11">
        <f>Table269121420304054708298112483668132[[#This Row],[KM Rodado]]/Table269121420304054708298112483668132[[#This Row],[Consumo Lt]]</f>
        <v>8.0500000000000007</v>
      </c>
      <c r="BB29" s="11"/>
      <c r="BC29" s="12">
        <v>1326</v>
      </c>
      <c r="BE29" s="14"/>
      <c r="BG29" s="72"/>
      <c r="BH29" s="9">
        <v>46184</v>
      </c>
      <c r="BI29" s="10">
        <f t="shared" si="9"/>
        <v>664497</v>
      </c>
      <c r="BJ29" s="5">
        <v>666014</v>
      </c>
      <c r="BK29" s="10">
        <f>Table269121420304054708298112654[[#This Row],[KM Final]]-Table269121420304054708298112654[[#This Row],[KM Inicial]]</f>
        <v>1517</v>
      </c>
      <c r="BL29" s="5">
        <v>450</v>
      </c>
      <c r="BM29" s="11">
        <f>Table269121420304054708298112654[[#This Row],[KM Rodado]]/Table269121420304054708298112654[[#This Row],[Consumo Lt]]</f>
        <v>3.3711111111111109</v>
      </c>
      <c r="BN29" s="18"/>
      <c r="BO29" s="13">
        <v>2812.51</v>
      </c>
      <c r="BP29" t="s">
        <v>118</v>
      </c>
      <c r="BQ29" s="14">
        <v>2000</v>
      </c>
    </row>
    <row r="30" spans="1:69">
      <c r="A30" s="72"/>
      <c r="B30" s="9">
        <v>46037</v>
      </c>
      <c r="C30" s="10">
        <f t="shared" si="4"/>
        <v>597706</v>
      </c>
      <c r="D30" s="5">
        <v>599299</v>
      </c>
      <c r="E30" s="10">
        <f>Table2691214203040547082981126[[#This Row],[KM Final]]-Table2691214203040547082981126[[#This Row],[KM Inicial]]</f>
        <v>1593</v>
      </c>
      <c r="F30" s="5">
        <v>539.01</v>
      </c>
      <c r="G30" s="11">
        <f>Table2691214203040547082981126[[#This Row],[KM Rodado]]/Table2691214203040547082981126[[#This Row],[Consumo Lt]]</f>
        <v>2.955418266822508</v>
      </c>
      <c r="H30" s="18">
        <v>40.03</v>
      </c>
      <c r="I30" s="13">
        <v>3111.34</v>
      </c>
      <c r="K30" s="8"/>
      <c r="M30" s="16">
        <v>46076</v>
      </c>
      <c r="N30" s="10">
        <f t="shared" si="5"/>
        <v>613886</v>
      </c>
      <c r="O30" s="10">
        <v>615314</v>
      </c>
      <c r="P30" s="10">
        <f>Table26912142030405470829811248[[#This Row],[KM Final]]-Table26912142030405470829811248[[#This Row],[KM Inicial]]</f>
        <v>1428</v>
      </c>
      <c r="Q30" s="10">
        <v>481.65</v>
      </c>
      <c r="R30" s="11">
        <f>Table26912142030405470829811248[[#This Row],[KM Rodado]]/Table26912142030405470829811248[[#This Row],[Consumo Lt]]</f>
        <v>2.9648084708813456</v>
      </c>
      <c r="S30" s="11">
        <v>30.62</v>
      </c>
      <c r="T30" s="12">
        <v>2722.17</v>
      </c>
      <c r="U30" t="s">
        <v>57</v>
      </c>
      <c r="V30" s="8">
        <v>838</v>
      </c>
      <c r="X30" s="72"/>
      <c r="Y30" s="16">
        <v>46098</v>
      </c>
      <c r="Z30" s="10">
        <f t="shared" si="6"/>
        <v>624584</v>
      </c>
      <c r="AA30" s="10">
        <v>624905</v>
      </c>
      <c r="AB30" s="10">
        <f>Table2691214203040547082981124836[[#This Row],[KM Final]]-Table2691214203040547082981124836[[#This Row],[KM Inicial]]</f>
        <v>321</v>
      </c>
      <c r="AC30" s="10">
        <v>633</v>
      </c>
      <c r="AD30" s="11">
        <f>Table2691214203040547082981124836[[#This Row],[KM Rodado]]/Table2691214203040547082981124836[[#This Row],[Consumo Lt]]</f>
        <v>0.50710900473933651</v>
      </c>
      <c r="AE30" s="11"/>
      <c r="AF30" s="12">
        <v>4044.87</v>
      </c>
      <c r="AG30" t="s">
        <v>25</v>
      </c>
      <c r="AH30" s="8">
        <v>400</v>
      </c>
      <c r="AJ30" s="16">
        <v>46122</v>
      </c>
      <c r="AK30" s="10">
        <f t="shared" si="7"/>
        <v>635685</v>
      </c>
      <c r="AL30" s="10">
        <v>636393</v>
      </c>
      <c r="AM30" s="10">
        <f>Table269121420304054708298112483668[[#This Row],[KM Final]]-Table269121420304054708298112483668[[#This Row],[KM Inicial]]</f>
        <v>708</v>
      </c>
      <c r="AN30" s="10">
        <v>222</v>
      </c>
      <c r="AO30" s="11">
        <f>Table269121420304054708298112483668[[#This Row],[KM Rodado]]/Table269121420304054708298112483668[[#This Row],[Consumo Lt]]</f>
        <v>3.189189189189189</v>
      </c>
      <c r="AP30" s="11">
        <v>29.21</v>
      </c>
      <c r="AQ30" s="12">
        <v>1624.4</v>
      </c>
      <c r="AR30" t="s">
        <v>93</v>
      </c>
      <c r="AS30" s="8">
        <v>1300</v>
      </c>
      <c r="AU30" s="72"/>
      <c r="AV30" s="16">
        <v>46155</v>
      </c>
      <c r="AW30" s="10">
        <f t="shared" si="8"/>
        <v>652710</v>
      </c>
      <c r="AX30" s="10">
        <v>653144</v>
      </c>
      <c r="AY30" s="10">
        <f>Table269121420304054708298112483668132[[#This Row],[KM Final]]-Table269121420304054708298112483668132[[#This Row],[KM Inicial]]</f>
        <v>434</v>
      </c>
      <c r="AZ30" s="10">
        <v>494</v>
      </c>
      <c r="BA30" s="11">
        <f>Table269121420304054708298112483668132[[#This Row],[KM Rodado]]/Table269121420304054708298112483668132[[#This Row],[Consumo Lt]]</f>
        <v>0.87854251012145745</v>
      </c>
      <c r="BB30" s="11"/>
      <c r="BC30" s="12">
        <v>3181.36</v>
      </c>
      <c r="BE30" s="8"/>
      <c r="BG30" s="72"/>
      <c r="BH30" s="9">
        <v>46190</v>
      </c>
      <c r="BI30" s="10">
        <f t="shared" si="9"/>
        <v>666014</v>
      </c>
      <c r="BJ30" s="5">
        <v>667897</v>
      </c>
      <c r="BK30" s="10"/>
      <c r="BL30" s="5"/>
      <c r="BM30" s="11"/>
      <c r="BN30" s="18"/>
      <c r="BO30" s="13">
        <v>1238</v>
      </c>
      <c r="BP30" t="s">
        <v>128</v>
      </c>
      <c r="BQ30" s="8">
        <v>18</v>
      </c>
    </row>
    <row r="31" spans="1:69">
      <c r="A31" s="72"/>
      <c r="B31" s="9">
        <v>46040</v>
      </c>
      <c r="C31" s="10">
        <f t="shared" si="4"/>
        <v>599299</v>
      </c>
      <c r="D31" s="5">
        <v>601024</v>
      </c>
      <c r="E31" s="10">
        <f>Table2691214203040547082981126[[#This Row],[KM Final]]-Table2691214203040547082981126[[#This Row],[KM Inicial]]</f>
        <v>1725</v>
      </c>
      <c r="F31" s="5">
        <v>611.01</v>
      </c>
      <c r="G31" s="11">
        <f>Table2691214203040547082981126[[#This Row],[KM Rodado]]/Table2691214203040547082981126[[#This Row],[Consumo Lt]]</f>
        <v>2.8231943830706534</v>
      </c>
      <c r="H31" s="18">
        <v>30</v>
      </c>
      <c r="I31" s="13">
        <v>3487.13</v>
      </c>
      <c r="K31" s="8"/>
      <c r="M31" s="16">
        <v>46078</v>
      </c>
      <c r="N31" s="10">
        <f t="shared" si="5"/>
        <v>615314</v>
      </c>
      <c r="O31" s="10">
        <v>616554</v>
      </c>
      <c r="P31" s="10">
        <f>Table26912142030405470829811248[[#This Row],[KM Final]]-Table26912142030405470829811248[[#This Row],[KM Inicial]]</f>
        <v>1240</v>
      </c>
      <c r="Q31" s="10">
        <v>357.89</v>
      </c>
      <c r="R31" s="11">
        <f>Table26912142030405470829811248[[#This Row],[KM Rodado]]/Table26912142030405470829811248[[#This Row],[Consumo Lt]]</f>
        <v>3.4647517393612564</v>
      </c>
      <c r="S31" s="11">
        <v>27.61</v>
      </c>
      <c r="T31" s="12">
        <v>2072.1</v>
      </c>
      <c r="U31" t="s">
        <v>58</v>
      </c>
      <c r="V31" s="8">
        <v>600</v>
      </c>
      <c r="X31" s="72"/>
      <c r="Y31" s="16">
        <v>46100</v>
      </c>
      <c r="Z31" s="10">
        <f t="shared" si="6"/>
        <v>624905</v>
      </c>
      <c r="AA31" s="10">
        <v>625830</v>
      </c>
      <c r="AB31" s="10">
        <f>Table2691214203040547082981124836[[#This Row],[KM Final]]-Table2691214203040547082981124836[[#This Row],[KM Inicial]]</f>
        <v>925</v>
      </c>
      <c r="AC31" s="10">
        <v>305</v>
      </c>
      <c r="AD31" s="11">
        <f>Table2691214203040547082981124836[[#This Row],[KM Rodado]]/Table2691214203040547082981124836[[#This Row],[Consumo Lt]]</f>
        <v>3.0327868852459017</v>
      </c>
      <c r="AE31" s="11"/>
      <c r="AF31" s="12">
        <v>2080.1</v>
      </c>
      <c r="AH31" s="8"/>
      <c r="AJ31" s="16">
        <v>46125</v>
      </c>
      <c r="AK31" s="10">
        <f t="shared" si="7"/>
        <v>636393</v>
      </c>
      <c r="AL31" s="10">
        <v>638108</v>
      </c>
      <c r="AM31" s="10">
        <f>Table269121420304054708298112483668[[#This Row],[KM Final]]-Table269121420304054708298112483668[[#This Row],[KM Inicial]]</f>
        <v>1715</v>
      </c>
      <c r="AN31" s="10">
        <v>200</v>
      </c>
      <c r="AO31" s="11">
        <f>Table269121420304054708298112483668[[#This Row],[KM Rodado]]/Table269121420304054708298112483668[[#This Row],[Consumo Lt]]</f>
        <v>8.5749999999999993</v>
      </c>
      <c r="AP31" s="11"/>
      <c r="AQ31" s="12">
        <v>1390</v>
      </c>
      <c r="AR31" t="s">
        <v>94</v>
      </c>
      <c r="AS31" s="8">
        <v>1400</v>
      </c>
      <c r="AU31" s="72"/>
      <c r="AV31" s="16">
        <v>46159</v>
      </c>
      <c r="AW31" s="10">
        <f t="shared" si="8"/>
        <v>653144</v>
      </c>
      <c r="AX31" s="10">
        <v>654427</v>
      </c>
      <c r="AY31" s="10">
        <f>Table269121420304054708298112483668132[[#This Row],[KM Final]]-Table269121420304054708298112483668132[[#This Row],[KM Inicial]]</f>
        <v>1283</v>
      </c>
      <c r="AZ31" s="10">
        <v>426.94099999999997</v>
      </c>
      <c r="BA31" s="11">
        <f>Table269121420304054708298112483668132[[#This Row],[KM Rodado]]/Table269121420304054708298112483668132[[#This Row],[Consumo Lt]]</f>
        <v>3.0050990652104157</v>
      </c>
      <c r="BB31" s="11"/>
      <c r="BC31" s="12">
        <v>2438.36</v>
      </c>
      <c r="BE31" s="8"/>
      <c r="BG31" s="72"/>
      <c r="BH31" s="9">
        <v>46190</v>
      </c>
      <c r="BI31" s="10">
        <f t="shared" si="9"/>
        <v>667897</v>
      </c>
      <c r="BJ31" s="5">
        <v>668646</v>
      </c>
      <c r="BK31" s="10">
        <v>2632</v>
      </c>
      <c r="BL31" s="39">
        <v>758.11</v>
      </c>
      <c r="BM31" s="11">
        <f>Table269121420304054708298112654[[#This Row],[KM Rodado]]/Table269121420304054708298112654[[#This Row],[Consumo Lt]]</f>
        <v>3.4717916924984502</v>
      </c>
      <c r="BN31" s="18"/>
      <c r="BO31" s="13">
        <v>3287.24</v>
      </c>
      <c r="BQ31" s="8"/>
    </row>
    <row r="32" spans="1:69">
      <c r="A32" s="72"/>
      <c r="B32" s="9">
        <v>46043</v>
      </c>
      <c r="C32" s="10">
        <f t="shared" si="4"/>
        <v>601024</v>
      </c>
      <c r="D32" s="5">
        <v>602244</v>
      </c>
      <c r="E32" s="10">
        <f>Table2691214203040547082981126[[#This Row],[KM Final]]-Table2691214203040547082981126[[#This Row],[KM Inicial]]</f>
        <v>1220</v>
      </c>
      <c r="F32" s="5">
        <v>378.99</v>
      </c>
      <c r="G32" s="11">
        <f>Table2691214203040547082981126[[#This Row],[KM Rodado]]/Table2691214203040547082981126[[#This Row],[Consumo Lt]]</f>
        <v>3.2190822976859548</v>
      </c>
      <c r="H32" s="18">
        <v>30</v>
      </c>
      <c r="I32" s="13">
        <v>2202.25</v>
      </c>
      <c r="K32" s="8"/>
      <c r="M32" s="16">
        <v>46081</v>
      </c>
      <c r="N32" s="10">
        <f t="shared" si="5"/>
        <v>616554</v>
      </c>
      <c r="O32" s="10">
        <v>617694</v>
      </c>
      <c r="P32" s="10">
        <f>Table26912142030405470829811248[[#This Row],[KM Final]]-Table26912142030405470829811248[[#This Row],[KM Inicial]]</f>
        <v>1140</v>
      </c>
      <c r="Q32" s="10">
        <v>426.29</v>
      </c>
      <c r="R32" s="11">
        <f>Table26912142030405470829811248[[#This Row],[KM Rodado]]/Table26912142030405470829811248[[#This Row],[Consumo Lt]]</f>
        <v>2.6742358488352997</v>
      </c>
      <c r="S32" s="11">
        <v>18.510000000000002</v>
      </c>
      <c r="T32" s="12">
        <v>2413.87</v>
      </c>
      <c r="U32" t="s">
        <v>59</v>
      </c>
      <c r="V32" s="8">
        <v>158</v>
      </c>
      <c r="X32" s="72"/>
      <c r="Y32" s="16">
        <v>46102</v>
      </c>
      <c r="Z32" s="10">
        <f t="shared" si="6"/>
        <v>625830</v>
      </c>
      <c r="AA32" s="10">
        <v>627441</v>
      </c>
      <c r="AB32" s="10">
        <f>Table2691214203040547082981124836[[#This Row],[KM Final]]-Table2691214203040547082981124836[[#This Row],[KM Inicial]]</f>
        <v>1611</v>
      </c>
      <c r="AC32" s="10">
        <v>200</v>
      </c>
      <c r="AD32" s="11">
        <f>Table2691214203040547082981124836[[#This Row],[KM Rodado]]/Table2691214203040547082981124836[[#This Row],[Consumo Lt]]</f>
        <v>8.0549999999999997</v>
      </c>
      <c r="AE32" s="11"/>
      <c r="AF32" s="12">
        <v>1424</v>
      </c>
      <c r="AH32" s="8"/>
      <c r="AJ32" s="16">
        <v>46126</v>
      </c>
      <c r="AK32" s="10">
        <f t="shared" si="7"/>
        <v>638108</v>
      </c>
      <c r="AL32" s="10">
        <v>639075</v>
      </c>
      <c r="AM32" s="10">
        <f>Table269121420304054708298112483668[[#This Row],[KM Final]]-Table269121420304054708298112483668[[#This Row],[KM Inicial]]</f>
        <v>967</v>
      </c>
      <c r="AN32" s="10">
        <v>100</v>
      </c>
      <c r="AO32" s="11">
        <f>Table269121420304054708298112483668[[#This Row],[KM Rodado]]/Table269121420304054708298112483668[[#This Row],[Consumo Lt]]</f>
        <v>9.67</v>
      </c>
      <c r="AP32" s="11"/>
      <c r="AQ32" s="12">
        <v>689</v>
      </c>
      <c r="AR32" t="s">
        <v>73</v>
      </c>
      <c r="AS32" s="8">
        <v>200</v>
      </c>
      <c r="AU32" s="72"/>
      <c r="AV32" s="16">
        <v>46162</v>
      </c>
      <c r="AW32" s="10">
        <f t="shared" si="8"/>
        <v>654427</v>
      </c>
      <c r="AX32" s="10">
        <v>655920</v>
      </c>
      <c r="AY32" s="10">
        <f>Table269121420304054708298112483668132[[#This Row],[KM Final]]-Table269121420304054708298112483668132[[#This Row],[KM Inicial]]</f>
        <v>1493</v>
      </c>
      <c r="AZ32" s="10">
        <v>200</v>
      </c>
      <c r="BA32" s="11">
        <f>Table269121420304054708298112483668132[[#This Row],[KM Rodado]]/Table269121420304054708298112483668132[[#This Row],[Consumo Lt]]</f>
        <v>7.4649999999999999</v>
      </c>
      <c r="BB32" s="11"/>
      <c r="BC32" s="12">
        <v>2842.75</v>
      </c>
      <c r="BE32" s="8"/>
      <c r="BG32" s="72"/>
      <c r="BH32" s="9">
        <v>46191</v>
      </c>
      <c r="BI32" s="10">
        <f t="shared" si="9"/>
        <v>668646</v>
      </c>
      <c r="BJ32" s="5">
        <v>669396</v>
      </c>
      <c r="BK32" s="10">
        <f>Table269121420304054708298112654[[#This Row],[KM Final]]-Table269121420304054708298112654[[#This Row],[KM Inicial]]</f>
        <v>750</v>
      </c>
      <c r="BL32" s="5">
        <v>205</v>
      </c>
      <c r="BM32" s="11">
        <f>Table269121420304054708298112654[[#This Row],[KM Rodado]]/Table269121420304054708298112654[[#This Row],[Consumo Lt]]</f>
        <v>3.6585365853658538</v>
      </c>
      <c r="BN32" s="18"/>
      <c r="BO32" s="13">
        <v>1219.76</v>
      </c>
      <c r="BQ32" s="8"/>
    </row>
    <row r="33" spans="1:69">
      <c r="A33" s="72"/>
      <c r="B33" s="9">
        <v>46045</v>
      </c>
      <c r="C33" s="10">
        <f t="shared" si="4"/>
        <v>602244</v>
      </c>
      <c r="D33" s="5">
        <v>603553</v>
      </c>
      <c r="E33" s="10">
        <f>Table2691214203040547082981126[[#This Row],[KM Final]]-Table2691214203040547082981126[[#This Row],[KM Inicial]]</f>
        <v>1309</v>
      </c>
      <c r="F33" s="5">
        <v>425.51</v>
      </c>
      <c r="G33" s="11">
        <f>Table2691214203040547082981126[[#This Row],[KM Rodado]]/Table2691214203040547082981126[[#This Row],[Consumo Lt]]</f>
        <v>3.076308429884139</v>
      </c>
      <c r="H33" s="18">
        <v>30.01</v>
      </c>
      <c r="I33" s="13">
        <v>2736.31</v>
      </c>
      <c r="K33" s="8"/>
      <c r="M33" s="16"/>
      <c r="N33" s="19">
        <f t="shared" si="5"/>
        <v>617694</v>
      </c>
      <c r="O33" s="10"/>
      <c r="P33" s="10"/>
      <c r="Q33" s="10"/>
      <c r="R33" s="11"/>
      <c r="S33" s="11"/>
      <c r="T33" s="12"/>
      <c r="U33" t="s">
        <v>60</v>
      </c>
      <c r="V33" s="8">
        <v>2000</v>
      </c>
      <c r="X33" s="72"/>
      <c r="Y33" s="16">
        <v>46103</v>
      </c>
      <c r="Z33" s="10">
        <f t="shared" si="6"/>
        <v>627441</v>
      </c>
      <c r="AA33" s="10">
        <v>627909</v>
      </c>
      <c r="AB33" s="10">
        <f>Table2691214203040547082981124836[[#This Row],[KM Final]]-Table2691214203040547082981124836[[#This Row],[KM Inicial]]</f>
        <v>468</v>
      </c>
      <c r="AC33" s="10">
        <v>492.49</v>
      </c>
      <c r="AD33" s="11">
        <f>Table2691214203040547082981124836[[#This Row],[KM Rodado]]/Table2691214203040547082981124836[[#This Row],[Consumo Lt]]</f>
        <v>0.95027310199191861</v>
      </c>
      <c r="AE33" s="11"/>
      <c r="AF33" s="12">
        <v>3738.07</v>
      </c>
      <c r="AH33" s="8"/>
      <c r="AJ33" s="16">
        <v>46126</v>
      </c>
      <c r="AK33" s="10">
        <f t="shared" si="7"/>
        <v>639075</v>
      </c>
      <c r="AL33" s="10">
        <v>639281</v>
      </c>
      <c r="AM33" s="10">
        <f>Table269121420304054708298112483668[[#This Row],[KM Final]]-Table269121420304054708298112483668[[#This Row],[KM Inicial]]</f>
        <v>206</v>
      </c>
      <c r="AN33" s="10">
        <v>596.07000000000005</v>
      </c>
      <c r="AO33" s="11">
        <f>Table269121420304054708298112483668[[#This Row],[KM Rodado]]/Table269121420304054708298112483668[[#This Row],[Consumo Lt]]</f>
        <v>0.34559699364168633</v>
      </c>
      <c r="AP33" s="11"/>
      <c r="AQ33" s="12">
        <v>3880.09</v>
      </c>
      <c r="AS33" s="8"/>
      <c r="AU33" s="72"/>
      <c r="AV33" s="16">
        <v>46163</v>
      </c>
      <c r="AW33" s="10">
        <f t="shared" si="8"/>
        <v>655920</v>
      </c>
      <c r="AX33" s="10">
        <v>656972</v>
      </c>
      <c r="AY33" s="10">
        <f>Table269121420304054708298112483668132[[#This Row],[KM Final]]-Table269121420304054708298112483668132[[#This Row],[KM Inicial]]</f>
        <v>1052</v>
      </c>
      <c r="AZ33" s="10">
        <v>200</v>
      </c>
      <c r="BA33" s="11">
        <f>Table269121420304054708298112483668132[[#This Row],[KM Rodado]]/Table269121420304054708298112483668132[[#This Row],[Consumo Lt]]</f>
        <v>5.26</v>
      </c>
      <c r="BB33" s="11"/>
      <c r="BC33" s="12">
        <v>1318</v>
      </c>
      <c r="BE33" s="8"/>
      <c r="BG33" s="72"/>
      <c r="BH33" s="9">
        <v>46194</v>
      </c>
      <c r="BI33" s="10">
        <f t="shared" si="9"/>
        <v>669396</v>
      </c>
      <c r="BJ33" s="5">
        <v>671738</v>
      </c>
      <c r="BK33" s="10">
        <f>Table269121420304054708298112654[[#This Row],[KM Final]]-Table269121420304054708298112654[[#This Row],[KM Inicial]]</f>
        <v>2342</v>
      </c>
      <c r="BL33" s="5"/>
      <c r="BM33" s="11"/>
      <c r="BN33" s="18"/>
      <c r="BO33" s="13">
        <v>2636</v>
      </c>
      <c r="BQ33" s="8"/>
    </row>
    <row r="34" spans="1:69">
      <c r="A34" s="72"/>
      <c r="B34" s="9">
        <v>46049</v>
      </c>
      <c r="C34" s="10"/>
      <c r="D34" s="5"/>
      <c r="E34" s="10"/>
      <c r="F34" s="5"/>
      <c r="G34" s="11"/>
      <c r="H34" s="18"/>
      <c r="I34" s="13"/>
      <c r="K34" s="8"/>
      <c r="M34" s="10"/>
      <c r="N34" s="10"/>
      <c r="O34" s="10"/>
      <c r="P34" s="10"/>
      <c r="Q34" s="10"/>
      <c r="R34" s="11"/>
      <c r="S34" s="11"/>
      <c r="T34" s="12"/>
      <c r="U34" t="s">
        <v>61</v>
      </c>
      <c r="V34" s="8">
        <v>17.8</v>
      </c>
      <c r="X34" s="72"/>
      <c r="Y34" s="16">
        <v>46106</v>
      </c>
      <c r="Z34" s="10">
        <f t="shared" si="6"/>
        <v>627909</v>
      </c>
      <c r="AA34" s="10">
        <v>629605</v>
      </c>
      <c r="AB34" s="10">
        <f>Table2691214203040547082981124836[[#This Row],[KM Final]]-Table2691214203040547082981124836[[#This Row],[KM Inicial]]</f>
        <v>1696</v>
      </c>
      <c r="AC34" s="10">
        <v>100</v>
      </c>
      <c r="AD34" s="11">
        <f>Table2691214203040547082981124836[[#This Row],[KM Rodado]]/Table2691214203040547082981124836[[#This Row],[Consumo Lt]]</f>
        <v>16.96</v>
      </c>
      <c r="AE34" s="11"/>
      <c r="AF34" s="12">
        <v>729</v>
      </c>
      <c r="AH34" s="8"/>
      <c r="AJ34" s="16">
        <v>46127</v>
      </c>
      <c r="AK34" s="10">
        <f t="shared" si="7"/>
        <v>639281</v>
      </c>
      <c r="AL34" s="10">
        <v>639969</v>
      </c>
      <c r="AM34" s="10">
        <f>Table269121420304054708298112483668[[#This Row],[KM Final]]-Table269121420304054708298112483668[[#This Row],[KM Inicial]]</f>
        <v>688</v>
      </c>
      <c r="AN34" s="10">
        <v>196.32</v>
      </c>
      <c r="AO34" s="11">
        <f>Table269121420304054708298112483668[[#This Row],[KM Rodado]]/Table269121420304054708298112483668[[#This Row],[Consumo Lt]]</f>
        <v>3.504482477587612</v>
      </c>
      <c r="AP34" s="11"/>
      <c r="AQ34" s="12">
        <v>1354.61</v>
      </c>
      <c r="AS34" s="8"/>
      <c r="AU34" s="72"/>
      <c r="AV34" s="16">
        <v>46165</v>
      </c>
      <c r="AW34" s="10">
        <f t="shared" si="8"/>
        <v>656972</v>
      </c>
      <c r="AX34" s="10">
        <v>658044</v>
      </c>
      <c r="AY34" s="10">
        <f>Table269121420304054708298112483668132[[#This Row],[KM Final]]-Table269121420304054708298112483668132[[#This Row],[KM Inicial]]</f>
        <v>1072</v>
      </c>
      <c r="AZ34" s="10">
        <v>200</v>
      </c>
      <c r="BA34" s="11">
        <f>Table269121420304054708298112483668132[[#This Row],[KM Rodado]]/Table269121420304054708298112483668132[[#This Row],[Consumo Lt]]</f>
        <v>5.36</v>
      </c>
      <c r="BB34" s="11"/>
      <c r="BC34" s="12">
        <v>1418</v>
      </c>
      <c r="BE34" s="8"/>
      <c r="BG34" s="72"/>
      <c r="BH34" s="9">
        <v>46194</v>
      </c>
      <c r="BI34" s="10">
        <f t="shared" si="9"/>
        <v>671738</v>
      </c>
      <c r="BJ34" s="5">
        <v>672058</v>
      </c>
      <c r="BK34" s="10">
        <v>3092</v>
      </c>
      <c r="BL34" s="5">
        <v>858.01</v>
      </c>
      <c r="BM34" s="11">
        <f>Table269121420304054708298112654[[#This Row],[KM Rodado]]/Table269121420304054708298112654[[#This Row],[Consumo Lt]]</f>
        <v>3.6036876027085931</v>
      </c>
      <c r="BN34" s="18"/>
      <c r="BO34" s="13">
        <v>2725.15</v>
      </c>
      <c r="BQ34" s="8"/>
    </row>
    <row r="35" spans="1:69">
      <c r="A35" s="72"/>
      <c r="B35" s="9">
        <v>46050</v>
      </c>
      <c r="C35" s="10">
        <v>603553</v>
      </c>
      <c r="D35" s="5">
        <v>605438</v>
      </c>
      <c r="E35" s="10">
        <f>Table2691214203040547082981126[[#This Row],[KM Final]]-Table2691214203040547082981126[[#This Row],[KM Inicial]]</f>
        <v>1885</v>
      </c>
      <c r="F35" s="5">
        <v>658.3</v>
      </c>
      <c r="G35" s="11">
        <f>Table2691214203040547082981126[[#This Row],[KM Rodado]]/Table2691214203040547082981126[[#This Row],[Consumo Lt]]</f>
        <v>2.8634361233480177</v>
      </c>
      <c r="H35" s="18">
        <v>34.42</v>
      </c>
      <c r="I35" s="13">
        <v>3813.17</v>
      </c>
      <c r="K35" s="8"/>
      <c r="M35" s="16"/>
      <c r="N35" s="10"/>
      <c r="O35" s="10"/>
      <c r="P35" s="10"/>
      <c r="Q35" s="10"/>
      <c r="R35" s="11"/>
      <c r="S35" s="11"/>
      <c r="T35" s="12"/>
      <c r="V35" s="8"/>
      <c r="X35" s="72"/>
      <c r="Y35" s="16">
        <v>46106</v>
      </c>
      <c r="Z35" s="10">
        <f t="shared" si="6"/>
        <v>629605</v>
      </c>
      <c r="AA35" s="10">
        <v>629891</v>
      </c>
      <c r="AB35" s="10">
        <f>Table2691214203040547082981124836[[#This Row],[KM Final]]-Table2691214203040547082981124836[[#This Row],[KM Inicial]]</f>
        <v>286</v>
      </c>
      <c r="AC35" s="10">
        <v>576.42999999999995</v>
      </c>
      <c r="AD35" s="11">
        <f>Table2691214203040547082981124836[[#This Row],[KM Rodado]]/Table2691214203040547082981124836[[#This Row],[Consumo Lt]]</f>
        <v>0.49615738250958491</v>
      </c>
      <c r="AE35" s="11"/>
      <c r="AF35" s="12">
        <v>4161.82</v>
      </c>
      <c r="AH35" s="8"/>
      <c r="AJ35" s="16">
        <v>46129</v>
      </c>
      <c r="AK35" s="10">
        <f t="shared" si="7"/>
        <v>639969</v>
      </c>
      <c r="AL35" s="10">
        <v>640689</v>
      </c>
      <c r="AM35" s="10">
        <f>Table269121420304054708298112483668[[#This Row],[KM Final]]-Table269121420304054708298112483668[[#This Row],[KM Inicial]]</f>
        <v>720</v>
      </c>
      <c r="AN35" s="10">
        <v>238.88</v>
      </c>
      <c r="AO35" s="11">
        <f>Table269121420304054708298112483668[[#This Row],[KM Rodado]]/Table269121420304054708298112483668[[#This Row],[Consumo Lt]]</f>
        <v>3.014065639651708</v>
      </c>
      <c r="AP35" s="11"/>
      <c r="AQ35" s="12">
        <v>1624.39</v>
      </c>
      <c r="AS35" s="8"/>
      <c r="AU35" s="72"/>
      <c r="AV35" s="16">
        <v>46167</v>
      </c>
      <c r="AW35" s="10">
        <f t="shared" si="8"/>
        <v>658044</v>
      </c>
      <c r="AX35" s="10">
        <v>658349</v>
      </c>
      <c r="AY35" s="10">
        <f>Table269121420304054708298112483668132[[#This Row],[KM Final]]-Table269121420304054708298112483668132[[#This Row],[KM Inicial]]</f>
        <v>305</v>
      </c>
      <c r="AZ35" s="10">
        <v>200</v>
      </c>
      <c r="BA35" s="11">
        <f>Table269121420304054708298112483668132[[#This Row],[KM Rodado]]/Table269121420304054708298112483668132[[#This Row],[Consumo Lt]]</f>
        <v>1.5249999999999999</v>
      </c>
      <c r="BB35" s="11"/>
      <c r="BC35" s="12">
        <v>1338</v>
      </c>
      <c r="BE35" s="8"/>
      <c r="BG35" s="72"/>
      <c r="BH35" s="9">
        <v>46196</v>
      </c>
      <c r="BI35" s="10">
        <f t="shared" si="9"/>
        <v>672058</v>
      </c>
      <c r="BJ35" s="5">
        <v>672854</v>
      </c>
      <c r="BK35" s="10">
        <f>Table269121420304054708298112654[[#This Row],[KM Final]]-Table269121420304054708298112654[[#This Row],[KM Inicial]]</f>
        <v>796</v>
      </c>
      <c r="BL35" s="5">
        <v>230.01</v>
      </c>
      <c r="BM35" s="11">
        <f>Table269121420304054708298112654[[#This Row],[KM Rodado]]/Table269121420304054708298112654[[#This Row],[Consumo Lt]]</f>
        <v>3.4607190991696015</v>
      </c>
      <c r="BN35" s="18"/>
      <c r="BO35" s="13">
        <v>1354.77</v>
      </c>
      <c r="BQ35" s="8"/>
    </row>
    <row r="36" spans="1:69">
      <c r="A36" s="72"/>
      <c r="B36" s="9">
        <v>46053</v>
      </c>
      <c r="C36" s="10">
        <f>D35</f>
        <v>605438</v>
      </c>
      <c r="D36" s="5">
        <v>607161</v>
      </c>
      <c r="E36" s="10">
        <f>Table2691214203040547082981126[[#This Row],[KM Final]]-Table2691214203040547082981126[[#This Row],[KM Inicial]]</f>
        <v>1723</v>
      </c>
      <c r="F36" s="5">
        <v>598.01</v>
      </c>
      <c r="G36" s="11">
        <f>Table2691214203040547082981126[[#This Row],[KM Rodado]]/Table2691214203040547082981126[[#This Row],[Consumo Lt]]</f>
        <v>2.8812227220280597</v>
      </c>
      <c r="H36" s="18">
        <v>30</v>
      </c>
      <c r="I36" s="13">
        <v>3441.55</v>
      </c>
      <c r="K36" s="8"/>
      <c r="M36" s="16"/>
      <c r="N36" s="10"/>
      <c r="O36" s="10"/>
      <c r="P36" s="10"/>
      <c r="Q36" s="10"/>
      <c r="R36" s="11"/>
      <c r="S36" s="11"/>
      <c r="T36" s="12"/>
      <c r="V36" s="8"/>
      <c r="X36" s="72"/>
      <c r="Y36" s="16">
        <v>46108</v>
      </c>
      <c r="Z36" s="10">
        <f t="shared" si="6"/>
        <v>629891</v>
      </c>
      <c r="AA36" s="10">
        <v>631599</v>
      </c>
      <c r="AB36" s="10">
        <f>Table2691214203040547082981124836[[#This Row],[KM Final]]-Table2691214203040547082981124836[[#This Row],[KM Inicial]]</f>
        <v>1708</v>
      </c>
      <c r="AC36" s="10">
        <v>200</v>
      </c>
      <c r="AD36" s="11">
        <f>Table2691214203040547082981124836[[#This Row],[KM Rodado]]/Table2691214203040547082981124836[[#This Row],[Consumo Lt]]</f>
        <v>8.5399999999999991</v>
      </c>
      <c r="AE36" s="11"/>
      <c r="AF36" s="12">
        <v>1444</v>
      </c>
      <c r="AH36" s="8"/>
      <c r="AJ36" s="16">
        <v>46133</v>
      </c>
      <c r="AK36" s="10">
        <f t="shared" si="7"/>
        <v>640689</v>
      </c>
      <c r="AL36" s="10">
        <v>641935</v>
      </c>
      <c r="AM36" s="10">
        <f>Table269121420304054708298112483668[[#This Row],[KM Final]]-Table269121420304054708298112483668[[#This Row],[KM Inicial]]</f>
        <v>1246</v>
      </c>
      <c r="AN36" s="10">
        <v>454.82</v>
      </c>
      <c r="AO36" s="11">
        <f>Table269121420304054708298112483668[[#This Row],[KM Rodado]]/Table269121420304054708298112483668[[#This Row],[Consumo Lt]]</f>
        <v>2.7395453146299635</v>
      </c>
      <c r="AP36" s="11"/>
      <c r="AQ36" s="12">
        <v>3179.13</v>
      </c>
      <c r="AS36" s="8"/>
      <c r="AU36" s="72"/>
      <c r="AV36" s="16">
        <v>46169</v>
      </c>
      <c r="AW36" s="10">
        <f t="shared" si="8"/>
        <v>658349</v>
      </c>
      <c r="AX36" s="10">
        <v>659361</v>
      </c>
      <c r="AY36" s="10">
        <f>Table269121420304054708298112483668132[[#This Row],[KM Final]]-Table269121420304054708298112483668132[[#This Row],[KM Inicial]]</f>
        <v>1012</v>
      </c>
      <c r="AZ36" s="10">
        <v>200</v>
      </c>
      <c r="BA36" s="11">
        <f>Table269121420304054708298112483668132[[#This Row],[KM Rodado]]/Table269121420304054708298112483668132[[#This Row],[Consumo Lt]]</f>
        <v>5.0599999999999996</v>
      </c>
      <c r="BB36" s="11"/>
      <c r="BC36" s="12">
        <v>1358</v>
      </c>
      <c r="BE36" s="8"/>
      <c r="BG36" s="72"/>
      <c r="BH36" s="9">
        <v>46203</v>
      </c>
      <c r="BI36" s="10">
        <f t="shared" si="9"/>
        <v>672854</v>
      </c>
      <c r="BJ36" s="5">
        <v>674525</v>
      </c>
      <c r="BK36" s="10">
        <f>Table269121420304054708298112654[[#This Row],[KM Final]]-Table269121420304054708298112654[[#This Row],[KM Inicial]]</f>
        <v>1671</v>
      </c>
      <c r="BL36" s="5">
        <v>472.01</v>
      </c>
      <c r="BM36" s="11">
        <f>Table269121420304054708298112654[[#This Row],[KM Rodado]]/Table269121420304054708298112654[[#This Row],[Consumo Lt]]</f>
        <v>3.5401792334908158</v>
      </c>
      <c r="BN36" s="18"/>
      <c r="BO36" s="13">
        <v>3063.34</v>
      </c>
      <c r="BQ36" s="8"/>
    </row>
    <row r="37" spans="1:69">
      <c r="A37" s="72"/>
      <c r="B37" s="9"/>
      <c r="C37" s="10">
        <f>D36</f>
        <v>607161</v>
      </c>
      <c r="D37" s="5"/>
      <c r="E37" s="10"/>
      <c r="F37" s="5"/>
      <c r="G37" s="11"/>
      <c r="H37" s="11"/>
      <c r="I37" s="13"/>
      <c r="K37" s="14"/>
      <c r="M37" s="16"/>
      <c r="N37" s="10"/>
      <c r="O37" s="10"/>
      <c r="P37" s="10"/>
      <c r="Q37" s="10"/>
      <c r="R37" s="11"/>
      <c r="S37" s="11"/>
      <c r="T37" s="12"/>
      <c r="V37" s="14"/>
      <c r="X37" s="72"/>
      <c r="Y37" s="16">
        <v>46109</v>
      </c>
      <c r="Z37" s="10">
        <f t="shared" si="6"/>
        <v>631599</v>
      </c>
      <c r="AA37" s="10">
        <v>631994</v>
      </c>
      <c r="AB37" s="10">
        <f>Table2691214203040547082981124836[[#This Row],[KM Final]]-Table2691214203040547082981124836[[#This Row],[KM Inicial]]</f>
        <v>395</v>
      </c>
      <c r="AC37" s="10">
        <v>473</v>
      </c>
      <c r="AD37" s="11">
        <f>Table2691214203040547082981124836[[#This Row],[KM Rodado]]/Table2691214203040547082981124836[[#This Row],[Consumo Lt]]</f>
        <v>0.83509513742071884</v>
      </c>
      <c r="AE37" s="11"/>
      <c r="AF37" s="12">
        <v>3415.06</v>
      </c>
      <c r="AH37" s="14"/>
      <c r="AJ37" s="16">
        <v>46135</v>
      </c>
      <c r="AK37" s="10">
        <f t="shared" si="7"/>
        <v>641935</v>
      </c>
      <c r="AL37" s="10">
        <v>643086</v>
      </c>
      <c r="AM37" s="10">
        <f>Table269121420304054708298112483668[[#This Row],[KM Final]]-Table269121420304054708298112483668[[#This Row],[KM Inicial]]</f>
        <v>1151</v>
      </c>
      <c r="AN37" s="10">
        <v>342.41</v>
      </c>
      <c r="AO37" s="11">
        <f>Table269121420304054708298112483668[[#This Row],[KM Rodado]]/Table269121420304054708298112483668[[#This Row],[Consumo Lt]]</f>
        <v>3.36146724686779</v>
      </c>
      <c r="AP37" s="11"/>
      <c r="AQ37" s="12">
        <v>2205.14</v>
      </c>
      <c r="AS37" s="14"/>
      <c r="AU37" s="72"/>
      <c r="AV37" s="16">
        <v>46174</v>
      </c>
      <c r="AW37" s="10">
        <v>659361</v>
      </c>
      <c r="AX37" s="10">
        <v>659778</v>
      </c>
      <c r="AY37" s="10">
        <f>Table269121420304054708298112483668132[[#This Row],[KM Final]]-Table269121420304054708298112483668132[[#This Row],[KM Inicial]]</f>
        <v>417</v>
      </c>
      <c r="AZ37" s="10">
        <v>200</v>
      </c>
      <c r="BA37" s="11">
        <f>Table269121420304054708298112483668132[[#This Row],[KM Rodado]]/Table269121420304054708298112483668132[[#This Row],[Consumo Lt]]</f>
        <v>2.085</v>
      </c>
      <c r="BB37" s="18"/>
      <c r="BC37" s="12">
        <v>1338</v>
      </c>
      <c r="BE37" s="14"/>
      <c r="BG37" s="72"/>
      <c r="BH37" s="9"/>
      <c r="BI37" s="19">
        <f t="shared" si="9"/>
        <v>674525</v>
      </c>
      <c r="BJ37" s="5"/>
      <c r="BK37" s="10"/>
      <c r="BL37" s="5"/>
      <c r="BM37" s="11"/>
      <c r="BN37" s="11"/>
      <c r="BO37" s="13"/>
      <c r="BQ37" s="14"/>
    </row>
    <row r="38" spans="1:69">
      <c r="A38" s="72"/>
      <c r="B38" s="9"/>
      <c r="C38" s="10"/>
      <c r="D38" s="5"/>
      <c r="E38" s="10"/>
      <c r="F38" s="5"/>
      <c r="G38" s="11"/>
      <c r="H38" s="11"/>
      <c r="I38" s="13"/>
      <c r="K38" s="8"/>
      <c r="M38" s="16"/>
      <c r="N38" s="10"/>
      <c r="O38" s="10"/>
      <c r="P38" s="10"/>
      <c r="Q38" s="10"/>
      <c r="R38" s="11"/>
      <c r="S38" s="11"/>
      <c r="T38" s="12"/>
      <c r="V38" s="8"/>
      <c r="X38" s="72"/>
      <c r="Y38" s="16"/>
      <c r="Z38" s="19">
        <f t="shared" si="6"/>
        <v>631994</v>
      </c>
      <c r="AA38" s="10"/>
      <c r="AB38" s="10"/>
      <c r="AC38" s="10"/>
      <c r="AD38" s="11"/>
      <c r="AE38" s="11"/>
      <c r="AF38" s="12"/>
      <c r="AH38" s="8"/>
      <c r="AJ38" s="16">
        <v>46141</v>
      </c>
      <c r="AK38" s="10">
        <f t="shared" si="7"/>
        <v>643086</v>
      </c>
      <c r="AL38" s="10">
        <v>645918</v>
      </c>
      <c r="AM38" s="10">
        <f>Table269121420304054708298112483668[[#This Row],[KM Final]]-Table269121420304054708298112483668[[#This Row],[KM Inicial]]</f>
        <v>2832</v>
      </c>
      <c r="AN38" s="10">
        <v>564.59</v>
      </c>
      <c r="AO38" s="11">
        <f>Table269121420304054708298112483668[[#This Row],[KM Rodado]]/Table269121420304054708298112483668[[#This Row],[Consumo Lt]]</f>
        <v>5.0160293310189692</v>
      </c>
      <c r="AP38" s="11"/>
      <c r="AQ38" s="12">
        <v>3494.81</v>
      </c>
      <c r="AS38" s="8"/>
      <c r="AU38" s="72"/>
      <c r="AV38" s="9">
        <v>46175</v>
      </c>
      <c r="AW38" s="10">
        <f t="shared" ref="AW38" si="10">AX37</f>
        <v>659778</v>
      </c>
      <c r="AX38" s="5">
        <v>660260</v>
      </c>
      <c r="AY38" s="10">
        <f>Table269121420304054708298112483668132[[#This Row],[KM Final]]-Table269121420304054708298112483668132[[#This Row],[KM Inicial]]</f>
        <v>482</v>
      </c>
      <c r="AZ38" s="5">
        <v>422</v>
      </c>
      <c r="BA38" s="11">
        <f>Table269121420304054708298112483668132[[#This Row],[KM Rodado]]/Table269121420304054708298112483668132[[#This Row],[Consumo Lt]]</f>
        <v>1.1421800947867298</v>
      </c>
      <c r="BB38" s="18"/>
      <c r="BC38" s="12">
        <v>2759.88</v>
      </c>
      <c r="BE38" s="8"/>
      <c r="BG38" s="72"/>
      <c r="BH38" s="9"/>
      <c r="BI38" s="10"/>
      <c r="BJ38" s="5"/>
      <c r="BK38" s="10"/>
      <c r="BL38" s="5"/>
      <c r="BM38" s="11"/>
      <c r="BN38" s="11"/>
      <c r="BO38" s="13"/>
      <c r="BQ38" s="8"/>
    </row>
    <row r="39" spans="1:69">
      <c r="A39" s="72"/>
      <c r="B39" s="5"/>
      <c r="C39" s="10"/>
      <c r="D39" s="5"/>
      <c r="E39" s="10"/>
      <c r="F39" s="5"/>
      <c r="G39" s="11"/>
      <c r="H39" s="11"/>
      <c r="I39" s="13"/>
      <c r="K39" s="8"/>
      <c r="M39" s="10"/>
      <c r="N39" s="10"/>
      <c r="O39" s="10"/>
      <c r="P39" s="10"/>
      <c r="Q39" s="10"/>
      <c r="R39" s="11"/>
      <c r="S39" s="11"/>
      <c r="T39" s="12"/>
      <c r="V39" s="8"/>
      <c r="X39" s="72"/>
      <c r="Y39" s="16"/>
      <c r="Z39" s="10"/>
      <c r="AA39" s="10"/>
      <c r="AB39" s="10"/>
      <c r="AC39" s="10"/>
      <c r="AD39" s="11"/>
      <c r="AE39" s="11"/>
      <c r="AF39" s="12"/>
      <c r="AH39" s="8"/>
      <c r="AJ39" s="16"/>
      <c r="AK39" s="19">
        <f t="shared" si="7"/>
        <v>645918</v>
      </c>
      <c r="AL39" s="10"/>
      <c r="AM39" s="10"/>
      <c r="AN39" s="10"/>
      <c r="AO39" s="11"/>
      <c r="AP39" s="11"/>
      <c r="AQ39" s="12"/>
      <c r="AS39" s="8"/>
      <c r="AU39" s="72"/>
      <c r="AV39" s="16"/>
      <c r="AW39" s="19">
        <f>AX38</f>
        <v>660260</v>
      </c>
      <c r="AX39" s="10"/>
      <c r="AY39" s="10"/>
      <c r="AZ39" s="10"/>
      <c r="BA39" s="11"/>
      <c r="BB39" s="11"/>
      <c r="BC39" s="12"/>
      <c r="BE39" s="8"/>
      <c r="BG39" s="72"/>
      <c r="BH39" s="5"/>
      <c r="BI39" s="10"/>
      <c r="BJ39" s="5"/>
      <c r="BK39" s="10"/>
      <c r="BL39" s="5"/>
      <c r="BM39" s="11"/>
      <c r="BN39" s="11"/>
      <c r="BO39" s="13"/>
      <c r="BQ39" s="8"/>
    </row>
    <row r="40" spans="1:69">
      <c r="A40" s="72"/>
      <c r="B40" s="5"/>
      <c r="C40" s="10"/>
      <c r="D40" s="5"/>
      <c r="E40" s="10"/>
      <c r="F40" s="5"/>
      <c r="G40" s="11"/>
      <c r="H40" s="11"/>
      <c r="I40" s="13"/>
      <c r="K40" s="8"/>
      <c r="M40" s="10"/>
      <c r="N40" s="10"/>
      <c r="O40" s="10"/>
      <c r="P40" s="10"/>
      <c r="Q40" s="10"/>
      <c r="R40" s="11"/>
      <c r="S40" s="11"/>
      <c r="T40" s="12"/>
      <c r="V40" s="8"/>
      <c r="X40" s="72"/>
      <c r="Y40" s="10"/>
      <c r="Z40" s="10"/>
      <c r="AA40" s="10"/>
      <c r="AB40" s="10"/>
      <c r="AC40" s="10"/>
      <c r="AD40" s="11"/>
      <c r="AE40" s="11"/>
      <c r="AF40" s="12"/>
      <c r="AH40" s="8"/>
      <c r="AJ40" s="10"/>
      <c r="AK40" s="10"/>
      <c r="AL40" s="10"/>
      <c r="AM40" s="10"/>
      <c r="AN40" s="10"/>
      <c r="AO40" s="11"/>
      <c r="AP40" s="11"/>
      <c r="AQ40" s="12"/>
      <c r="AS40" s="8"/>
      <c r="AU40" s="72"/>
      <c r="AV40" s="10"/>
      <c r="AW40" s="10"/>
      <c r="AX40" s="10"/>
      <c r="AY40" s="10"/>
      <c r="AZ40" s="10"/>
      <c r="BA40" s="11"/>
      <c r="BB40" s="11"/>
      <c r="BC40" s="12"/>
      <c r="BE40" s="8"/>
      <c r="BG40" s="72"/>
      <c r="BH40" s="5"/>
      <c r="BI40" s="10"/>
      <c r="BJ40" s="5"/>
      <c r="BK40" s="10"/>
      <c r="BL40" s="5"/>
      <c r="BM40" s="11"/>
      <c r="BN40" s="11"/>
      <c r="BO40" s="13"/>
      <c r="BQ40" s="8"/>
    </row>
    <row r="41" spans="1:69">
      <c r="A41" s="72"/>
      <c r="B41" s="5"/>
      <c r="C41" s="10"/>
      <c r="D41" s="5"/>
      <c r="E41" s="10"/>
      <c r="F41" s="5"/>
      <c r="G41" s="11"/>
      <c r="H41" s="11"/>
      <c r="I41" s="13"/>
      <c r="K41" s="8"/>
      <c r="M41" s="10"/>
      <c r="N41" s="10"/>
      <c r="O41" s="10"/>
      <c r="P41" s="10"/>
      <c r="Q41" s="10"/>
      <c r="R41" s="11"/>
      <c r="S41" s="11"/>
      <c r="T41" s="12"/>
      <c r="V41" s="8"/>
      <c r="X41" s="72"/>
      <c r="Y41" s="10"/>
      <c r="Z41" s="10"/>
      <c r="AA41" s="10"/>
      <c r="AB41" s="10"/>
      <c r="AC41" s="10"/>
      <c r="AD41" s="11"/>
      <c r="AE41" s="11"/>
      <c r="AF41" s="12"/>
      <c r="AH41" s="8"/>
      <c r="AJ41" s="10"/>
      <c r="AK41" s="10"/>
      <c r="AL41" s="10"/>
      <c r="AM41" s="10"/>
      <c r="AN41" s="10"/>
      <c r="AO41" s="11"/>
      <c r="AP41" s="11"/>
      <c r="AQ41" s="12"/>
      <c r="AS41" s="8"/>
      <c r="AU41" s="72"/>
      <c r="AV41" s="10"/>
      <c r="AW41" s="10"/>
      <c r="AX41" s="10"/>
      <c r="AY41" s="10"/>
      <c r="AZ41" s="10"/>
      <c r="BA41" s="11"/>
      <c r="BB41" s="11"/>
      <c r="BC41" s="12"/>
      <c r="BE41" s="8"/>
      <c r="BG41" s="72"/>
      <c r="BH41" s="5"/>
      <c r="BI41" s="10"/>
      <c r="BJ41" s="5"/>
      <c r="BK41" s="10"/>
      <c r="BL41" s="5"/>
      <c r="BM41" s="11"/>
      <c r="BN41" s="11"/>
      <c r="BO41" s="13"/>
      <c r="BQ41" s="8"/>
    </row>
    <row r="42" spans="1:69">
      <c r="A42" s="72"/>
      <c r="B42" s="5"/>
      <c r="C42" s="10"/>
      <c r="D42" s="5"/>
      <c r="E42" s="10"/>
      <c r="F42" s="5"/>
      <c r="G42" s="11"/>
      <c r="H42" s="11"/>
      <c r="I42" s="13"/>
      <c r="K42" s="8"/>
      <c r="M42" s="10"/>
      <c r="N42" s="10"/>
      <c r="O42" s="10"/>
      <c r="P42" s="10"/>
      <c r="Q42" s="10"/>
      <c r="R42" s="11"/>
      <c r="S42" s="11"/>
      <c r="T42" s="12"/>
      <c r="V42" s="8"/>
      <c r="X42" s="72"/>
      <c r="Y42" s="10"/>
      <c r="Z42" s="10"/>
      <c r="AA42" s="10"/>
      <c r="AB42" s="10"/>
      <c r="AC42" s="10"/>
      <c r="AD42" s="11"/>
      <c r="AE42" s="11"/>
      <c r="AF42" s="12"/>
      <c r="AH42" s="8"/>
      <c r="AJ42" s="10"/>
      <c r="AK42" s="10"/>
      <c r="AL42" s="10"/>
      <c r="AM42" s="10"/>
      <c r="AN42" s="10"/>
      <c r="AO42" s="11"/>
      <c r="AP42" s="11"/>
      <c r="AQ42" s="12"/>
      <c r="AS42" s="8"/>
      <c r="AU42" s="72"/>
      <c r="AV42" s="10"/>
      <c r="AW42" s="10"/>
      <c r="AX42" s="10"/>
      <c r="AY42" s="10"/>
      <c r="AZ42" s="10"/>
      <c r="BA42" s="11"/>
      <c r="BB42" s="11"/>
      <c r="BC42" s="12"/>
      <c r="BE42" s="8"/>
      <c r="BG42" s="72"/>
      <c r="BH42" s="5"/>
      <c r="BI42" s="10"/>
      <c r="BJ42" s="5"/>
      <c r="BK42" s="10"/>
      <c r="BL42" s="5"/>
      <c r="BM42" s="11"/>
      <c r="BN42" s="11"/>
      <c r="BO42" s="13"/>
      <c r="BQ42" s="8"/>
    </row>
    <row r="43" spans="1:69">
      <c r="A43" s="72"/>
      <c r="B43" s="22"/>
      <c r="C43" s="22"/>
      <c r="D43" s="23"/>
      <c r="E43" s="23">
        <f>SUM(E26:E42)</f>
        <v>14894</v>
      </c>
      <c r="F43" s="23">
        <f>SUM(F26:F42)</f>
        <v>5041.55</v>
      </c>
      <c r="G43" s="28">
        <f>Table2691214203040547082981126[[#This Row],[KM Rodado]]/Table2691214203040547082981126[[#This Row],[Consumo Lt]]</f>
        <v>2.9542501809959236</v>
      </c>
      <c r="H43" s="22"/>
      <c r="I43" s="27">
        <f>SUM(I26:I42)</f>
        <v>29210.149999999998</v>
      </c>
      <c r="J43" s="21" t="s">
        <v>10</v>
      </c>
      <c r="K43" s="21">
        <f>SUM(K26:K42)</f>
        <v>1054</v>
      </c>
      <c r="M43" s="20"/>
      <c r="N43" s="20"/>
      <c r="O43" s="25"/>
      <c r="P43" s="25">
        <f>SUM(P26:P42)</f>
        <v>10533</v>
      </c>
      <c r="Q43" s="25">
        <f>SUM(Q26:Q42)</f>
        <v>3465.93</v>
      </c>
      <c r="R43" s="29">
        <f>Table26912142030405470829811248[[#This Row],[KM Rodado]]/Table26912142030405470829811248[[#This Row],[Consumo Lt]]</f>
        <v>3.0390111744899637</v>
      </c>
      <c r="S43" s="29">
        <f>SUM(S26:S42)</f>
        <v>224.11</v>
      </c>
      <c r="T43" s="20">
        <f>SUM(T26:T42)</f>
        <v>19785.699999999997</v>
      </c>
      <c r="U43" s="21" t="s">
        <v>10</v>
      </c>
      <c r="V43" s="21">
        <f>SUM(V26:V42)</f>
        <v>6317.8</v>
      </c>
      <c r="X43" s="72"/>
      <c r="Y43" s="20"/>
      <c r="Z43" s="20"/>
      <c r="AA43" s="25"/>
      <c r="AB43" s="25">
        <f>SUM(AB26:AB42)</f>
        <v>14300</v>
      </c>
      <c r="AC43" s="25">
        <f>SUM(AC26:AC42)</f>
        <v>4457.93</v>
      </c>
      <c r="AD43" s="29">
        <f>Table2691214203040547082981124836[[#This Row],[KM Rodado]]/Table2691214203040547082981124836[[#This Row],[Consumo Lt]]</f>
        <v>3.2077668334854965</v>
      </c>
      <c r="AE43" s="29">
        <f>SUM(AE26:AE42)</f>
        <v>19.399999999999999</v>
      </c>
      <c r="AF43" s="20">
        <f>SUM(AF26:AF42)</f>
        <v>29818.270000000004</v>
      </c>
      <c r="AG43" s="21" t="s">
        <v>10</v>
      </c>
      <c r="AH43" s="21">
        <f>SUM(AH26:AH42)</f>
        <v>2204</v>
      </c>
      <c r="AJ43" s="20"/>
      <c r="AK43" s="20"/>
      <c r="AL43" s="25"/>
      <c r="AM43" s="25">
        <f>SUM(AM26:AM42)</f>
        <v>13924</v>
      </c>
      <c r="AN43" s="25">
        <f>SUM(AN26:AN42)</f>
        <v>4255.63</v>
      </c>
      <c r="AO43" s="29">
        <f>Table269121420304054708298112483668[[#This Row],[KM Rodado]]/Table269121420304054708298112483668[[#This Row],[Consumo Lt]]</f>
        <v>3.2719009876328533</v>
      </c>
      <c r="AP43" s="29">
        <f>SUM(AP26:AP42)</f>
        <v>77.86</v>
      </c>
      <c r="AQ43" s="20">
        <f>SUM(AQ26:AQ42)</f>
        <v>29052.46</v>
      </c>
      <c r="AR43" s="21" t="s">
        <v>10</v>
      </c>
      <c r="AS43" s="21">
        <f>SUM(AS26:AS42)</f>
        <v>6774</v>
      </c>
      <c r="AU43" s="72"/>
      <c r="AV43" s="20"/>
      <c r="AW43" s="20"/>
      <c r="AX43" s="25"/>
      <c r="AY43" s="25">
        <f>AW39-AW26</f>
        <v>14342</v>
      </c>
      <c r="AZ43" s="25">
        <f>SUM(AZ26:AZ42)</f>
        <v>4101.1309999999994</v>
      </c>
      <c r="BA43" s="29">
        <f>Table269121420304054708298112483668132[[#This Row],[KM Rodado]]/Table269121420304054708298112483668132[[#This Row],[Consumo Lt]]</f>
        <v>3.4970840970454251</v>
      </c>
      <c r="BB43" s="29">
        <f>SUM(BB26:BB42)</f>
        <v>16.45</v>
      </c>
      <c r="BC43" s="20">
        <f>SUM(BC26:BC42)</f>
        <v>28292.15</v>
      </c>
      <c r="BD43" s="21" t="s">
        <v>10</v>
      </c>
      <c r="BE43" s="21">
        <f>SUM(BE26:BE42)</f>
        <v>804</v>
      </c>
      <c r="BG43" s="72"/>
      <c r="BH43" s="22"/>
      <c r="BI43" s="22"/>
      <c r="BJ43" s="23"/>
      <c r="BK43" s="23">
        <f>BI37-BI26</f>
        <v>14265</v>
      </c>
      <c r="BL43" s="23">
        <f>SUM(BL26:BL42)</f>
        <v>4242.5800000000008</v>
      </c>
      <c r="BM43" s="28">
        <f>Table269121420304054708298112654[[#This Row],[KM Rodado]]/Table269121420304054708298112654[[#This Row],[Consumo Lt]]</f>
        <v>3.3623408397720249</v>
      </c>
      <c r="BN43" s="22"/>
      <c r="BO43" s="27">
        <f>SUM(BO26:BO42)</f>
        <v>26748.39</v>
      </c>
      <c r="BP43" s="21" t="s">
        <v>10</v>
      </c>
      <c r="BQ43" s="21">
        <f>SUM(BQ26:BQ42)</f>
        <v>5322</v>
      </c>
    </row>
    <row r="44" spans="1:69">
      <c r="B44" s="5"/>
      <c r="C44" s="32"/>
      <c r="D44" s="5"/>
      <c r="E44" s="5"/>
      <c r="F44" s="5"/>
      <c r="G44" s="33"/>
      <c r="H44" s="34"/>
      <c r="I44" s="35"/>
      <c r="M44" s="10"/>
      <c r="N44" s="18"/>
      <c r="O44" s="10"/>
      <c r="P44" s="10"/>
      <c r="Q44" s="10"/>
      <c r="R44" s="11"/>
      <c r="S44" s="11"/>
      <c r="T44" s="12"/>
      <c r="Y44" s="10"/>
      <c r="Z44" s="18"/>
      <c r="AA44" s="10"/>
      <c r="AB44" s="10"/>
      <c r="AC44" s="10"/>
      <c r="AD44" s="11"/>
      <c r="AE44" s="11"/>
      <c r="AF44" s="12"/>
      <c r="AJ44" s="10"/>
      <c r="AK44" s="18"/>
      <c r="AL44" s="10"/>
      <c r="AM44" s="10"/>
      <c r="AN44" s="10"/>
      <c r="AO44" s="11"/>
      <c r="AP44" s="11"/>
      <c r="AQ44" s="57"/>
      <c r="AV44" s="10"/>
      <c r="AW44" s="18"/>
      <c r="AX44" s="10"/>
      <c r="AY44" s="10"/>
      <c r="AZ44" s="10"/>
      <c r="BA44" s="11"/>
      <c r="BB44" s="11"/>
      <c r="BC44" s="57"/>
      <c r="BH44" s="5"/>
      <c r="BI44" s="32"/>
      <c r="BJ44" s="5"/>
      <c r="BK44" s="5"/>
      <c r="BL44" s="5"/>
      <c r="BM44" s="33"/>
      <c r="BN44" s="34"/>
      <c r="BO44" s="35"/>
    </row>
    <row r="47" spans="1:69" ht="33.75" customHeight="1">
      <c r="B47" s="71">
        <v>46023</v>
      </c>
      <c r="C47" s="71"/>
      <c r="D47" s="71"/>
      <c r="E47" s="71"/>
      <c r="F47" s="71"/>
      <c r="G47" s="71"/>
      <c r="H47" s="71"/>
      <c r="I47" s="71"/>
      <c r="J47" s="71"/>
      <c r="L47" s="73">
        <v>46054</v>
      </c>
      <c r="M47" s="73"/>
      <c r="N47" s="73"/>
      <c r="O47" s="73"/>
      <c r="P47" s="73"/>
      <c r="Q47" s="73"/>
      <c r="R47" s="73"/>
      <c r="S47" s="73"/>
      <c r="T47" s="73"/>
      <c r="W47" s="71">
        <v>46082</v>
      </c>
      <c r="X47" s="71"/>
      <c r="Y47" s="71"/>
      <c r="Z47" s="71"/>
      <c r="AA47" s="71"/>
      <c r="AB47" s="71"/>
      <c r="AC47" s="71"/>
      <c r="AD47" s="71"/>
      <c r="AE47" s="71"/>
      <c r="AF47" s="71"/>
      <c r="AI47" s="73">
        <v>46113</v>
      </c>
      <c r="AJ47" s="73"/>
      <c r="AK47" s="73"/>
      <c r="AL47" s="73"/>
      <c r="AM47" s="73"/>
      <c r="AN47" s="73"/>
      <c r="AO47" s="73"/>
      <c r="AP47" s="73"/>
      <c r="AQ47" s="73"/>
      <c r="AU47" s="73">
        <v>46143</v>
      </c>
      <c r="AV47" s="73"/>
      <c r="AW47" s="73"/>
      <c r="AX47" s="73"/>
      <c r="AY47" s="73"/>
      <c r="AZ47" s="73"/>
      <c r="BA47" s="73"/>
      <c r="BB47" s="73"/>
      <c r="BC47" s="73"/>
      <c r="BH47" s="71">
        <v>46174</v>
      </c>
      <c r="BI47" s="71"/>
      <c r="BJ47" s="71"/>
      <c r="BK47" s="71"/>
      <c r="BL47" s="71"/>
      <c r="BM47" s="71"/>
      <c r="BN47" s="71"/>
      <c r="BO47" s="71"/>
      <c r="BP47" s="71"/>
    </row>
    <row r="48" spans="1:69">
      <c r="A48" s="1" t="s">
        <v>11</v>
      </c>
      <c r="B48" s="1" t="s">
        <v>0</v>
      </c>
      <c r="C48" s="1" t="s">
        <v>1</v>
      </c>
      <c r="D48" s="1" t="s">
        <v>2</v>
      </c>
      <c r="E48" s="1" t="s">
        <v>3</v>
      </c>
      <c r="F48" s="1" t="s">
        <v>4</v>
      </c>
      <c r="G48" s="1" t="s">
        <v>5</v>
      </c>
      <c r="H48" s="17" t="s">
        <v>21</v>
      </c>
      <c r="I48" s="2" t="s">
        <v>6</v>
      </c>
      <c r="J48" s="3" t="s">
        <v>7</v>
      </c>
      <c r="K48" s="4" t="s">
        <v>6</v>
      </c>
      <c r="M48" s="1" t="s">
        <v>0</v>
      </c>
      <c r="N48" s="1" t="s">
        <v>1</v>
      </c>
      <c r="O48" s="1" t="s">
        <v>2</v>
      </c>
      <c r="P48" s="1" t="s">
        <v>3</v>
      </c>
      <c r="Q48" s="1" t="s">
        <v>4</v>
      </c>
      <c r="R48" s="1" t="s">
        <v>5</v>
      </c>
      <c r="S48" s="17" t="s">
        <v>21</v>
      </c>
      <c r="T48" s="2" t="s">
        <v>6</v>
      </c>
      <c r="U48" s="3" t="s">
        <v>7</v>
      </c>
      <c r="V48" s="4" t="s">
        <v>6</v>
      </c>
      <c r="X48" s="1" t="s">
        <v>11</v>
      </c>
      <c r="Y48" s="1" t="s">
        <v>0</v>
      </c>
      <c r="Z48" s="1" t="s">
        <v>1</v>
      </c>
      <c r="AA48" s="1" t="s">
        <v>2</v>
      </c>
      <c r="AB48" s="1" t="s">
        <v>3</v>
      </c>
      <c r="AC48" s="1" t="s">
        <v>4</v>
      </c>
      <c r="AD48" s="1" t="s">
        <v>5</v>
      </c>
      <c r="AE48" s="17" t="s">
        <v>21</v>
      </c>
      <c r="AF48" s="2" t="s">
        <v>6</v>
      </c>
      <c r="AG48" s="3" t="s">
        <v>7</v>
      </c>
      <c r="AH48" s="4" t="s">
        <v>6</v>
      </c>
      <c r="AJ48" s="1" t="s">
        <v>0</v>
      </c>
      <c r="AK48" s="1" t="s">
        <v>1</v>
      </c>
      <c r="AL48" s="1" t="s">
        <v>2</v>
      </c>
      <c r="AM48" s="1" t="s">
        <v>3</v>
      </c>
      <c r="AN48" s="1" t="s">
        <v>4</v>
      </c>
      <c r="AO48" s="1" t="s">
        <v>5</v>
      </c>
      <c r="AP48" s="17" t="s">
        <v>21</v>
      </c>
      <c r="AQ48" s="2" t="s">
        <v>6</v>
      </c>
      <c r="AR48" s="3" t="s">
        <v>7</v>
      </c>
      <c r="AS48" s="4" t="s">
        <v>6</v>
      </c>
      <c r="AU48" s="1" t="s">
        <v>11</v>
      </c>
      <c r="AV48" s="1" t="s">
        <v>0</v>
      </c>
      <c r="AW48" s="1" t="s">
        <v>1</v>
      </c>
      <c r="AX48" s="1" t="s">
        <v>2</v>
      </c>
      <c r="AY48" s="1" t="s">
        <v>3</v>
      </c>
      <c r="AZ48" s="1" t="s">
        <v>4</v>
      </c>
      <c r="BA48" s="1" t="s">
        <v>5</v>
      </c>
      <c r="BB48" s="17" t="s">
        <v>21</v>
      </c>
      <c r="BC48" s="2" t="s">
        <v>6</v>
      </c>
      <c r="BD48" s="3" t="s">
        <v>7</v>
      </c>
      <c r="BE48" s="4" t="s">
        <v>6</v>
      </c>
      <c r="BG48" s="1" t="s">
        <v>11</v>
      </c>
      <c r="BH48" s="1" t="s">
        <v>0</v>
      </c>
      <c r="BI48" s="1" t="s">
        <v>1</v>
      </c>
      <c r="BJ48" s="1" t="s">
        <v>2</v>
      </c>
      <c r="BK48" s="1" t="s">
        <v>3</v>
      </c>
      <c r="BL48" s="1" t="s">
        <v>4</v>
      </c>
      <c r="BM48" s="1" t="s">
        <v>5</v>
      </c>
      <c r="BN48" s="17" t="s">
        <v>21</v>
      </c>
      <c r="BO48" s="2" t="s">
        <v>6</v>
      </c>
      <c r="BP48" s="3" t="s">
        <v>7</v>
      </c>
      <c r="BQ48" s="4" t="s">
        <v>6</v>
      </c>
    </row>
    <row r="49" spans="1:69" ht="15" customHeight="1">
      <c r="A49" s="72" t="s">
        <v>14</v>
      </c>
      <c r="B49" s="16">
        <v>46028</v>
      </c>
      <c r="C49" s="10">
        <v>139008</v>
      </c>
      <c r="D49" s="10">
        <v>140251</v>
      </c>
      <c r="E49" s="10">
        <f>Table269121420304054708298112610[[#This Row],[KM Final]]-Table269121420304054708298112610[[#This Row],[KM Inicial]]</f>
        <v>1243</v>
      </c>
      <c r="F49" s="10">
        <v>397.9</v>
      </c>
      <c r="G49" s="11">
        <f>Table269121420304054708298112610[[#This Row],[KM Rodado]]/Table269121420304054708298112610[[#This Row],[Consumo Lt]]</f>
        <v>3.1239004775069112</v>
      </c>
      <c r="H49" s="18">
        <v>30.8</v>
      </c>
      <c r="I49" s="12">
        <v>2300.06</v>
      </c>
      <c r="J49" s="24" t="s">
        <v>8</v>
      </c>
      <c r="K49" s="14">
        <v>504</v>
      </c>
      <c r="M49" s="16">
        <v>46056</v>
      </c>
      <c r="N49" s="10">
        <v>150058</v>
      </c>
      <c r="O49" s="10">
        <v>151964</v>
      </c>
      <c r="P49" s="10">
        <f>Table2691214203040547082981124812[[#This Row],[KM Final]]-Table2691214203040547082981124812[[#This Row],[KM Inicial]]</f>
        <v>1906</v>
      </c>
      <c r="Q49" s="11">
        <v>150</v>
      </c>
      <c r="R49" s="11">
        <f>Table2691214203040547082981124812[[#This Row],[KM Rodado]]/Table2691214203040547082981124812[[#This Row],[Consumo Lt]]</f>
        <v>12.706666666666667</v>
      </c>
      <c r="S49" s="11"/>
      <c r="T49" s="12">
        <v>906</v>
      </c>
      <c r="U49" s="36" t="s">
        <v>8</v>
      </c>
      <c r="V49" s="37">
        <v>504</v>
      </c>
      <c r="X49" s="72" t="s">
        <v>14</v>
      </c>
      <c r="Y49" s="16">
        <v>46095</v>
      </c>
      <c r="Z49" s="10">
        <v>157725</v>
      </c>
      <c r="AA49" s="10">
        <v>158683</v>
      </c>
      <c r="AB49" s="10">
        <f>Table269121420304054708298112481238[[#This Row],[KM Final]]-Table269121420304054708298112481238[[#This Row],[KM Inicial]]</f>
        <v>958</v>
      </c>
      <c r="AC49" s="11">
        <v>300</v>
      </c>
      <c r="AD49" s="11">
        <f>Table269121420304054708298112481238[[#This Row],[KM Rodado]]/Table269121420304054708298112481238[[#This Row],[Consumo Lt]]</f>
        <v>3.1933333333333334</v>
      </c>
      <c r="AE49" s="11">
        <v>30</v>
      </c>
      <c r="AF49" s="12">
        <v>1850.7</v>
      </c>
      <c r="AG49" s="36" t="s">
        <v>8</v>
      </c>
      <c r="AH49" s="37">
        <v>504</v>
      </c>
      <c r="AJ49" s="16">
        <v>46114</v>
      </c>
      <c r="AK49" s="10">
        <v>168341</v>
      </c>
      <c r="AL49" s="10">
        <v>169503</v>
      </c>
      <c r="AM49" s="10">
        <f>Table26912142030405470829811248123870[[#This Row],[KM Final]]-Table26912142030405470829811248123870[[#This Row],[KM Inicial]]</f>
        <v>1162</v>
      </c>
      <c r="AN49" s="11">
        <v>317.02</v>
      </c>
      <c r="AO49" s="11">
        <f>Table26912142030405470829811248123870[[#This Row],[KM Rodado]]/Table26912142030405470829811248123870[[#This Row],[Consumo Lt]]</f>
        <v>3.6653838874518958</v>
      </c>
      <c r="AP49" s="11">
        <v>24.52</v>
      </c>
      <c r="AQ49" s="12">
        <v>2325.91</v>
      </c>
      <c r="AR49" s="36" t="s">
        <v>8</v>
      </c>
      <c r="AS49" s="37">
        <v>504</v>
      </c>
      <c r="AU49" s="72" t="s">
        <v>14</v>
      </c>
      <c r="AV49" s="16">
        <v>46147</v>
      </c>
      <c r="AW49" s="10">
        <v>185530</v>
      </c>
      <c r="AX49" s="10">
        <v>186324</v>
      </c>
      <c r="AY49" s="10">
        <f>Table26912142030405470829811248123870134[[#This Row],[KM Final]]-Table26912142030405470829811248123870134[[#This Row],[KM Inicial]]</f>
        <v>794</v>
      </c>
      <c r="AZ49" s="11">
        <v>219.41</v>
      </c>
      <c r="BA49" s="11">
        <f>Table26912142030405470829811248123870134[[#This Row],[KM Rodado]]/Table26912142030405470829811248123870134[[#This Row],[Consumo Lt]]</f>
        <v>3.618795861628914</v>
      </c>
      <c r="BB49" s="11">
        <v>33.75</v>
      </c>
      <c r="BC49" s="12">
        <v>1537.71</v>
      </c>
      <c r="BD49" s="36" t="s">
        <v>8</v>
      </c>
      <c r="BE49" s="37">
        <v>504</v>
      </c>
      <c r="BG49" s="72" t="s">
        <v>14</v>
      </c>
      <c r="BH49" s="16">
        <v>46177</v>
      </c>
      <c r="BI49" s="10">
        <v>200780</v>
      </c>
      <c r="BJ49" s="10">
        <v>202374</v>
      </c>
      <c r="BK49" s="10">
        <f>Table26912142030405470829811261058[[#This Row],[KM Final]]-Table26912142030405470829811261058[[#This Row],[KM Inicial]]</f>
        <v>1594</v>
      </c>
      <c r="BL49" s="11">
        <v>461.77</v>
      </c>
      <c r="BM49" s="11">
        <f>Table26912142030405470829811261058[[#This Row],[KM Rodado]]/Table26912142030405470829811261058[[#This Row],[Consumo Lt]]</f>
        <v>3.4519349459687723</v>
      </c>
      <c r="BN49" s="11">
        <v>27</v>
      </c>
      <c r="BO49" s="12">
        <v>2833.96</v>
      </c>
      <c r="BP49" s="24" t="s">
        <v>8</v>
      </c>
      <c r="BQ49" s="14">
        <v>504</v>
      </c>
    </row>
    <row r="50" spans="1:69">
      <c r="A50" s="72"/>
      <c r="B50" s="16">
        <v>46031</v>
      </c>
      <c r="C50" s="10">
        <f t="shared" ref="C50:C56" si="11">D49</f>
        <v>140251</v>
      </c>
      <c r="D50" s="10">
        <v>142170</v>
      </c>
      <c r="E50" s="10">
        <f>Table269121420304054708298112610[[#This Row],[KM Final]]-Table269121420304054708298112610[[#This Row],[KM Inicial]]</f>
        <v>1919</v>
      </c>
      <c r="F50" s="10">
        <v>657</v>
      </c>
      <c r="G50" s="11">
        <f>Table269121420304054708298112610[[#This Row],[KM Rodado]]/Table269121420304054708298112610[[#This Row],[Consumo Lt]]</f>
        <v>2.9208523592085234</v>
      </c>
      <c r="H50" s="18">
        <v>37.08</v>
      </c>
      <c r="I50" s="12">
        <v>3850.38</v>
      </c>
      <c r="J50" s="24" t="s">
        <v>20</v>
      </c>
      <c r="K50" s="14">
        <v>300</v>
      </c>
      <c r="M50" s="16">
        <v>46056</v>
      </c>
      <c r="N50" s="10">
        <f>O49</f>
        <v>151964</v>
      </c>
      <c r="O50" s="10">
        <v>152127</v>
      </c>
      <c r="P50" s="10">
        <f>Table2691214203040547082981124812[[#This Row],[KM Final]]-Table2691214203040547082981124812[[#This Row],[KM Inicial]]</f>
        <v>163</v>
      </c>
      <c r="Q50" s="11">
        <v>604.48</v>
      </c>
      <c r="R50" s="11">
        <f>Table2691214203040547082981124812[[#This Row],[KM Rodado]]/Table2691214203040547082981124812[[#This Row],[Consumo Lt]]</f>
        <v>0.2696532556908417</v>
      </c>
      <c r="S50" s="11">
        <v>40.826000000000001</v>
      </c>
      <c r="T50" s="12">
        <v>3527.25</v>
      </c>
      <c r="U50" s="36" t="s">
        <v>20</v>
      </c>
      <c r="V50" s="37">
        <v>300</v>
      </c>
      <c r="X50" s="72"/>
      <c r="Y50" s="16">
        <v>46098</v>
      </c>
      <c r="Z50" s="10">
        <f t="shared" ref="Z50:Z60" si="12">AA49</f>
        <v>158683</v>
      </c>
      <c r="AA50" s="10">
        <v>160232</v>
      </c>
      <c r="AB50" s="10">
        <f>Table269121420304054708298112481238[[#This Row],[KM Final]]-Table269121420304054708298112481238[[#This Row],[KM Inicial]]</f>
        <v>1549</v>
      </c>
      <c r="AC50" s="11">
        <v>100</v>
      </c>
      <c r="AD50" s="11">
        <f>Table269121420304054708298112481238[[#This Row],[KM Rodado]]/Table269121420304054708298112481238[[#This Row],[Consumo Lt]]</f>
        <v>15.49</v>
      </c>
      <c r="AE50" s="11"/>
      <c r="AF50" s="12">
        <v>699</v>
      </c>
      <c r="AG50" s="36" t="s">
        <v>20</v>
      </c>
      <c r="AH50" s="37">
        <v>300</v>
      </c>
      <c r="AJ50" s="16">
        <v>46116</v>
      </c>
      <c r="AK50" s="10">
        <f t="shared" ref="AK50:AK63" si="13">AL49</f>
        <v>169503</v>
      </c>
      <c r="AL50" s="10">
        <v>170428</v>
      </c>
      <c r="AM50" s="10">
        <f>Table26912142030405470829811248123870[[#This Row],[KM Final]]-Table26912142030405470829811248123870[[#This Row],[KM Inicial]]</f>
        <v>925</v>
      </c>
      <c r="AN50" s="11">
        <v>250</v>
      </c>
      <c r="AO50" s="11">
        <f>Table26912142030405470829811248123870[[#This Row],[KM Rodado]]/Table26912142030405470829811248123870[[#This Row],[Consumo Lt]]</f>
        <v>3.7</v>
      </c>
      <c r="AP50" s="11"/>
      <c r="AQ50" s="12">
        <v>1822.5</v>
      </c>
      <c r="AR50" s="36" t="s">
        <v>20</v>
      </c>
      <c r="AS50" s="37">
        <v>300</v>
      </c>
      <c r="AU50" s="72"/>
      <c r="AV50" s="16">
        <v>46150</v>
      </c>
      <c r="AW50" s="10">
        <f t="shared" ref="AW50:AW62" si="14">AX49</f>
        <v>186324</v>
      </c>
      <c r="AX50" s="10">
        <v>188123</v>
      </c>
      <c r="AY50" s="10">
        <f>Table26912142030405470829811248123870134[[#This Row],[KM Final]]-Table26912142030405470829811248123870134[[#This Row],[KM Inicial]]</f>
        <v>1799</v>
      </c>
      <c r="AZ50" s="11">
        <v>542.01</v>
      </c>
      <c r="BA50" s="11">
        <f>Table26912142030405470829811248123870134[[#This Row],[KM Rodado]]/Table26912142030405470829811248123870134[[#This Row],[Consumo Lt]]</f>
        <v>3.3191269533772441</v>
      </c>
      <c r="BB50" s="11">
        <v>38.86</v>
      </c>
      <c r="BC50" s="12">
        <v>3465.75</v>
      </c>
      <c r="BD50" s="36" t="s">
        <v>20</v>
      </c>
      <c r="BE50" s="37">
        <v>300</v>
      </c>
      <c r="BG50" s="72"/>
      <c r="BH50" s="16">
        <v>46178</v>
      </c>
      <c r="BI50" s="10">
        <f t="shared" ref="BI50:BI59" si="15">BJ49</f>
        <v>202374</v>
      </c>
      <c r="BJ50" s="10">
        <v>203358</v>
      </c>
      <c r="BK50" s="10">
        <f>Table26912142030405470829811261058[[#This Row],[KM Final]]-Table26912142030405470829811261058[[#This Row],[KM Inicial]]</f>
        <v>984</v>
      </c>
      <c r="BL50" s="11">
        <v>262.63</v>
      </c>
      <c r="BM50" s="11">
        <f>Table26912142030405470829811261058[[#This Row],[KM Rodado]]/Table26912142030405470829811261058[[#This Row],[Consumo Lt]]</f>
        <v>3.7467159121197122</v>
      </c>
      <c r="BN50" s="11">
        <v>27</v>
      </c>
      <c r="BO50" s="12">
        <v>1649.08</v>
      </c>
      <c r="BP50" s="24" t="s">
        <v>20</v>
      </c>
      <c r="BQ50" s="14">
        <v>300</v>
      </c>
    </row>
    <row r="51" spans="1:69">
      <c r="A51" s="72"/>
      <c r="B51" s="16">
        <v>46033</v>
      </c>
      <c r="C51" s="10">
        <f t="shared" si="11"/>
        <v>142170</v>
      </c>
      <c r="D51" s="10">
        <v>143130</v>
      </c>
      <c r="E51" s="10">
        <f>Table269121420304054708298112610[[#This Row],[KM Final]]-Table269121420304054708298112610[[#This Row],[KM Inicial]]</f>
        <v>960</v>
      </c>
      <c r="F51" s="10">
        <v>616.73</v>
      </c>
      <c r="G51" s="11">
        <f>Table269121420304054708298112610[[#This Row],[KM Rodado]]/Table269121420304054708298112610[[#This Row],[Consumo Lt]]</f>
        <v>1.55659689004913</v>
      </c>
      <c r="H51" s="18">
        <v>44.75</v>
      </c>
      <c r="I51" s="12">
        <v>3591.95</v>
      </c>
      <c r="J51" s="24"/>
      <c r="K51" s="14"/>
      <c r="M51" s="16">
        <v>46059</v>
      </c>
      <c r="N51" s="6"/>
      <c r="O51" s="6"/>
      <c r="P51" s="6"/>
      <c r="Q51" s="11"/>
      <c r="R51" s="11"/>
      <c r="S51" s="11"/>
      <c r="T51" s="12">
        <v>1128</v>
      </c>
      <c r="U51" s="36" t="s">
        <v>37</v>
      </c>
      <c r="V51" s="37">
        <v>482</v>
      </c>
      <c r="X51" s="72"/>
      <c r="Y51" s="16">
        <v>46098</v>
      </c>
      <c r="Z51" s="10">
        <f t="shared" si="12"/>
        <v>160232</v>
      </c>
      <c r="AA51" s="10">
        <v>160534</v>
      </c>
      <c r="AB51" s="10">
        <f>Table269121420304054708298112481238[[#This Row],[KM Final]]-Table269121420304054708298112481238[[#This Row],[KM Inicial]]</f>
        <v>302</v>
      </c>
      <c r="AC51" s="11">
        <v>556</v>
      </c>
      <c r="AD51" s="11">
        <f>Table269121420304054708298112481238[[#This Row],[KM Rodado]]/Table269121420304054708298112481238[[#This Row],[Consumo Lt]]</f>
        <v>0.54316546762589923</v>
      </c>
      <c r="AE51" s="11"/>
      <c r="AF51" s="12">
        <v>3555.85</v>
      </c>
      <c r="AG51" s="36" t="s">
        <v>65</v>
      </c>
      <c r="AH51" s="37">
        <v>280</v>
      </c>
      <c r="AJ51" s="16">
        <v>46120</v>
      </c>
      <c r="AK51" s="10">
        <f t="shared" si="13"/>
        <v>170428</v>
      </c>
      <c r="AL51" s="10">
        <v>171964</v>
      </c>
      <c r="AM51" s="10">
        <f>Table26912142030405470829811248123870[[#This Row],[KM Final]]-Table26912142030405470829811248123870[[#This Row],[KM Inicial]]</f>
        <v>1536</v>
      </c>
      <c r="AN51" s="11">
        <v>454.09</v>
      </c>
      <c r="AO51" s="11">
        <f>Table26912142030405470829811248123870[[#This Row],[KM Rodado]]/Table26912142030405470829811248123870[[#This Row],[Consumo Lt]]</f>
        <v>3.3825893545332426</v>
      </c>
      <c r="AP51" s="11">
        <v>53.09</v>
      </c>
      <c r="AQ51" s="12">
        <v>3266.78</v>
      </c>
      <c r="AR51" s="36" t="s">
        <v>48</v>
      </c>
      <c r="AS51" s="37">
        <v>350</v>
      </c>
      <c r="AU51" s="72"/>
      <c r="AV51" s="16">
        <v>46154</v>
      </c>
      <c r="AW51" s="10">
        <f t="shared" si="14"/>
        <v>188123</v>
      </c>
      <c r="AX51" s="10">
        <v>189400</v>
      </c>
      <c r="AY51" s="10">
        <f>Table26912142030405470829811248123870134[[#This Row],[KM Final]]-Table26912142030405470829811248123870134[[#This Row],[KM Inicial]]</f>
        <v>1277</v>
      </c>
      <c r="AZ51" s="11">
        <v>200</v>
      </c>
      <c r="BA51" s="11">
        <f>Table26912142030405470829811248123870134[[#This Row],[KM Rodado]]/Table26912142030405470829811248123870134[[#This Row],[Consumo Lt]]</f>
        <v>6.3849999999999998</v>
      </c>
      <c r="BB51" s="11"/>
      <c r="BC51" s="12">
        <v>1310</v>
      </c>
      <c r="BD51" s="36" t="s">
        <v>97</v>
      </c>
      <c r="BE51" s="37">
        <v>22</v>
      </c>
      <c r="BG51" s="72"/>
      <c r="BH51" s="16">
        <v>46180</v>
      </c>
      <c r="BI51" s="10">
        <f t="shared" si="15"/>
        <v>203358</v>
      </c>
      <c r="BJ51" s="10">
        <v>204579</v>
      </c>
      <c r="BK51" s="10">
        <f>Table26912142030405470829811261058[[#This Row],[KM Final]]-Table26912142030405470829811261058[[#This Row],[KM Inicial]]</f>
        <v>1221</v>
      </c>
      <c r="BL51" s="11">
        <v>292.37</v>
      </c>
      <c r="BM51" s="11">
        <f>Table26912142030405470829811261058[[#This Row],[KM Rodado]]/Table26912142030405470829811261058[[#This Row],[Consumo Lt]]</f>
        <v>4.1762150699456164</v>
      </c>
      <c r="BN51" s="11"/>
      <c r="BO51" s="12">
        <v>1827.33</v>
      </c>
      <c r="BP51" s="24"/>
      <c r="BQ51" s="14"/>
    </row>
    <row r="52" spans="1:69">
      <c r="A52" s="72"/>
      <c r="B52" s="16">
        <v>46041</v>
      </c>
      <c r="C52" s="10">
        <f t="shared" si="11"/>
        <v>143130</v>
      </c>
      <c r="D52" s="10">
        <v>145045</v>
      </c>
      <c r="E52" s="10">
        <f>Table269121420304054708298112610[[#This Row],[KM Final]]-Table269121420304054708298112610[[#This Row],[KM Inicial]]</f>
        <v>1915</v>
      </c>
      <c r="F52" s="10">
        <v>656.89099999999996</v>
      </c>
      <c r="G52" s="11">
        <f>Table269121420304054708298112610[[#This Row],[KM Rodado]]/Table269121420304054708298112610[[#This Row],[Consumo Lt]]</f>
        <v>2.915247735164586</v>
      </c>
      <c r="H52" s="18">
        <v>48.170999999999999</v>
      </c>
      <c r="I52" s="12">
        <v>3790.22</v>
      </c>
      <c r="J52" s="24"/>
      <c r="K52" s="14"/>
      <c r="M52" s="16">
        <v>46060</v>
      </c>
      <c r="N52" s="10">
        <v>152127</v>
      </c>
      <c r="O52" s="10">
        <v>153830</v>
      </c>
      <c r="P52" s="10">
        <f>Table2691214203040547082981124812[[#This Row],[KM Final]]-Table2691214203040547082981124812[[#This Row],[KM Inicial]]</f>
        <v>1703</v>
      </c>
      <c r="Q52" s="11">
        <v>640.03</v>
      </c>
      <c r="R52" s="11">
        <f>Table2691214203040547082981124812[[#This Row],[KM Rodado]]/Table2691214203040547082981124812[[#This Row],[Consumo Lt]]</f>
        <v>2.6608127744012</v>
      </c>
      <c r="S52" s="11">
        <v>51.01</v>
      </c>
      <c r="T52" s="12">
        <v>2564.08</v>
      </c>
      <c r="U52" s="36" t="s">
        <v>27</v>
      </c>
      <c r="V52" s="37">
        <v>150</v>
      </c>
      <c r="X52" s="72"/>
      <c r="Y52" s="16">
        <v>46099</v>
      </c>
      <c r="Z52" s="10">
        <f t="shared" si="12"/>
        <v>160534</v>
      </c>
      <c r="AA52" s="10">
        <v>161160</v>
      </c>
      <c r="AB52" s="10">
        <f>Table269121420304054708298112481238[[#This Row],[KM Final]]-Table269121420304054708298112481238[[#This Row],[KM Inicial]]</f>
        <v>626</v>
      </c>
      <c r="AC52" s="11"/>
      <c r="AD52" s="11"/>
      <c r="AE52" s="11">
        <v>55.74</v>
      </c>
      <c r="AF52" s="12">
        <v>161.1</v>
      </c>
      <c r="AG52" s="36" t="s">
        <v>66</v>
      </c>
      <c r="AH52" s="37">
        <v>55</v>
      </c>
      <c r="AJ52" s="16">
        <v>46122</v>
      </c>
      <c r="AK52" s="10">
        <f t="shared" si="13"/>
        <v>171964</v>
      </c>
      <c r="AL52" s="10">
        <v>173003</v>
      </c>
      <c r="AM52" s="10">
        <f>Table26912142030405470829811248123870[[#This Row],[KM Final]]-Table26912142030405470829811248123870[[#This Row],[KM Inicial]]</f>
        <v>1039</v>
      </c>
      <c r="AN52" s="11">
        <v>285.01</v>
      </c>
      <c r="AO52" s="11">
        <f>Table26912142030405470829811248123870[[#This Row],[KM Rodado]]/Table26912142030405470829811248123870[[#This Row],[Consumo Lt]]</f>
        <v>3.6454861232939195</v>
      </c>
      <c r="AP52" s="11">
        <v>22</v>
      </c>
      <c r="AQ52" s="12">
        <v>2050.04</v>
      </c>
      <c r="AR52" s="36" t="s">
        <v>76</v>
      </c>
      <c r="AS52" s="37">
        <v>3000</v>
      </c>
      <c r="AU52" s="72"/>
      <c r="AV52" s="16">
        <v>46155</v>
      </c>
      <c r="AW52" s="10">
        <f t="shared" si="14"/>
        <v>189400</v>
      </c>
      <c r="AX52" s="10">
        <v>190166</v>
      </c>
      <c r="AY52" s="10">
        <f>Table26912142030405470829811248123870134[[#This Row],[KM Final]]-Table26912142030405470829811248123870134[[#This Row],[KM Inicial]]</f>
        <v>766</v>
      </c>
      <c r="AZ52" s="11">
        <v>484.01</v>
      </c>
      <c r="BA52" s="11">
        <f>Table26912142030405470829811248123870134[[#This Row],[KM Rodado]]/Table26912142030405470829811248123870134[[#This Row],[Consumo Lt]]</f>
        <v>1.5826119295055887</v>
      </c>
      <c r="BB52" s="11">
        <v>57.95</v>
      </c>
      <c r="BC52" s="12">
        <v>3335.63</v>
      </c>
      <c r="BD52" s="36" t="s">
        <v>113</v>
      </c>
      <c r="BE52" s="37">
        <v>3891.55</v>
      </c>
      <c r="BG52" s="72"/>
      <c r="BH52" s="16">
        <v>46185</v>
      </c>
      <c r="BI52" s="10">
        <f t="shared" si="15"/>
        <v>204579</v>
      </c>
      <c r="BJ52" s="10">
        <v>206367</v>
      </c>
      <c r="BK52" s="10">
        <f>Table26912142030405470829811261058[[#This Row],[KM Final]]-Table26912142030405470829811261058[[#This Row],[KM Inicial]]</f>
        <v>1788</v>
      </c>
      <c r="BL52" s="11">
        <v>652.01</v>
      </c>
      <c r="BM52" s="11">
        <f>Table26912142030405470829811261058[[#This Row],[KM Rodado]]/Table26912142030405470829811261058[[#This Row],[Consumo Lt]]</f>
        <v>2.7422892286928113</v>
      </c>
      <c r="BN52" s="11">
        <v>79.5</v>
      </c>
      <c r="BO52" s="12">
        <v>4394.6499999999996</v>
      </c>
      <c r="BP52" s="24"/>
      <c r="BQ52" s="14"/>
    </row>
    <row r="53" spans="1:69">
      <c r="A53" s="72"/>
      <c r="B53" s="16">
        <v>46043</v>
      </c>
      <c r="C53" s="10">
        <f t="shared" si="11"/>
        <v>145045</v>
      </c>
      <c r="D53" s="10">
        <v>146535</v>
      </c>
      <c r="E53" s="10">
        <f>Table269121420304054708298112610[[#This Row],[KM Final]]-Table269121420304054708298112610[[#This Row],[KM Inicial]]</f>
        <v>1490</v>
      </c>
      <c r="F53" s="10">
        <v>470</v>
      </c>
      <c r="G53" s="11">
        <f>Table269121420304054708298112610[[#This Row],[KM Rodado]]/Table269121420304054708298112610[[#This Row],[Consumo Lt]]</f>
        <v>3.1702127659574466</v>
      </c>
      <c r="H53" s="18">
        <v>37.409999999999997</v>
      </c>
      <c r="I53" s="12">
        <v>2747.59</v>
      </c>
      <c r="J53" s="24"/>
      <c r="K53" s="14"/>
      <c r="M53" s="16">
        <v>46062</v>
      </c>
      <c r="N53" s="10">
        <f>O52</f>
        <v>153830</v>
      </c>
      <c r="O53" s="10">
        <v>154764</v>
      </c>
      <c r="P53" s="10">
        <f>Table2691214203040547082981124812[[#This Row],[KM Final]]-Table2691214203040547082981124812[[#This Row],[KM Inicial]]</f>
        <v>934</v>
      </c>
      <c r="Q53" s="11">
        <v>540.01</v>
      </c>
      <c r="R53" s="11">
        <f>Table2691214203040547082981124812[[#This Row],[KM Rodado]]/Table2691214203040547082981124812[[#This Row],[Consumo Lt]]</f>
        <v>1.7295976000444437</v>
      </c>
      <c r="S53" s="11">
        <v>17.29</v>
      </c>
      <c r="T53" s="12">
        <v>3023.68</v>
      </c>
      <c r="U53" s="36" t="s">
        <v>25</v>
      </c>
      <c r="V53" s="37">
        <v>400</v>
      </c>
      <c r="X53" s="72"/>
      <c r="Y53" s="16">
        <v>46099</v>
      </c>
      <c r="Z53" s="10">
        <f t="shared" si="12"/>
        <v>161160</v>
      </c>
      <c r="AA53" s="10">
        <v>161239</v>
      </c>
      <c r="AB53" s="10">
        <f>Table269121420304054708298112481238[[#This Row],[KM Final]]-Table269121420304054708298112481238[[#This Row],[KM Inicial]]</f>
        <v>79</v>
      </c>
      <c r="AC53" s="11">
        <v>197.2</v>
      </c>
      <c r="AD53" s="11">
        <f>Table269121420304054708298112481238[[#This Row],[KM Rodado]]/Table269121420304054708298112481238[[#This Row],[Consumo Lt]]</f>
        <v>0.40060851926977692</v>
      </c>
      <c r="AE53" s="11"/>
      <c r="AF53" s="12">
        <v>1260.17</v>
      </c>
      <c r="AG53" s="36" t="s">
        <v>67</v>
      </c>
      <c r="AH53" s="37">
        <v>11.9</v>
      </c>
      <c r="AJ53" s="16">
        <v>46124</v>
      </c>
      <c r="AK53" s="10">
        <f t="shared" si="13"/>
        <v>173003</v>
      </c>
      <c r="AL53" s="10">
        <v>174349</v>
      </c>
      <c r="AM53" s="10">
        <f>Table26912142030405470829811248123870[[#This Row],[KM Final]]-Table26912142030405470829811248123870[[#This Row],[KM Inicial]]</f>
        <v>1346</v>
      </c>
      <c r="AN53" s="11">
        <v>416.55</v>
      </c>
      <c r="AO53" s="11">
        <f>Table26912142030405470829811248123870[[#This Row],[KM Rodado]]/Table26912142030405470829811248123870[[#This Row],[Consumo Lt]]</f>
        <v>3.2313047653342934</v>
      </c>
      <c r="AP53" s="11">
        <v>37.69</v>
      </c>
      <c r="AQ53" s="12">
        <v>2982.7</v>
      </c>
      <c r="AR53" s="36" t="s">
        <v>27</v>
      </c>
      <c r="AS53" s="37">
        <v>250</v>
      </c>
      <c r="AU53" s="72"/>
      <c r="AV53" s="16">
        <v>46156</v>
      </c>
      <c r="AW53" s="10">
        <f t="shared" si="14"/>
        <v>190166</v>
      </c>
      <c r="AX53" s="10">
        <v>191652</v>
      </c>
      <c r="AY53" s="10">
        <f>Table26912142030405470829811248123870134[[#This Row],[KM Final]]-Table26912142030405470829811248123870134[[#This Row],[KM Inicial]]</f>
        <v>1486</v>
      </c>
      <c r="AZ53" s="11">
        <v>267</v>
      </c>
      <c r="BA53" s="11">
        <f>Table26912142030405470829811248123870134[[#This Row],[KM Rodado]]/Table26912142030405470829811248123870134[[#This Row],[Consumo Lt]]</f>
        <v>5.5655430711610485</v>
      </c>
      <c r="BB53" s="11">
        <v>24.59</v>
      </c>
      <c r="BC53" s="12">
        <v>1788.08</v>
      </c>
      <c r="BD53" s="36"/>
      <c r="BE53" s="37"/>
      <c r="BG53" s="72"/>
      <c r="BH53" s="16">
        <v>46189</v>
      </c>
      <c r="BI53" s="10">
        <f t="shared" si="15"/>
        <v>206367</v>
      </c>
      <c r="BJ53" s="10">
        <v>207248</v>
      </c>
      <c r="BK53" s="10">
        <f>Table26912142030405470829811261058[[#This Row],[KM Final]]-Table26912142030405470829811261058[[#This Row],[KM Inicial]]</f>
        <v>881</v>
      </c>
      <c r="BL53" s="11">
        <v>263</v>
      </c>
      <c r="BM53" s="11">
        <f>Table26912142030405470829811261058[[#This Row],[KM Rodado]]/Table26912142030405470829811261058[[#This Row],[Consumo Lt]]</f>
        <v>3.3498098859315588</v>
      </c>
      <c r="BN53" s="11"/>
      <c r="BO53" s="12">
        <v>1643.75</v>
      </c>
      <c r="BP53" s="24"/>
      <c r="BQ53" s="14"/>
    </row>
    <row r="54" spans="1:69">
      <c r="A54" s="72"/>
      <c r="B54" s="16">
        <v>46047</v>
      </c>
      <c r="C54" s="10">
        <f t="shared" si="11"/>
        <v>146535</v>
      </c>
      <c r="D54" s="10">
        <v>148741</v>
      </c>
      <c r="E54" s="10">
        <f>Table269121420304054708298112610[[#This Row],[KM Final]]-Table269121420304054708298112610[[#This Row],[KM Inicial]]</f>
        <v>2206</v>
      </c>
      <c r="F54" s="10">
        <v>665.01099999999997</v>
      </c>
      <c r="G54" s="11">
        <f>Table269121420304054708298112610[[#This Row],[KM Rodado]]/Table269121420304054708298112610[[#This Row],[Consumo Lt]]</f>
        <v>3.3172383614707126</v>
      </c>
      <c r="H54" s="18">
        <v>41</v>
      </c>
      <c r="I54" s="12">
        <v>3696.66</v>
      </c>
      <c r="J54" s="24"/>
      <c r="K54" s="14"/>
      <c r="M54" s="16">
        <v>46072</v>
      </c>
      <c r="N54" s="10">
        <f>O53</f>
        <v>154764</v>
      </c>
      <c r="O54" s="10">
        <v>155886</v>
      </c>
      <c r="P54" s="10">
        <f>Table2691214203040547082981124812[[#This Row],[KM Final]]-Table2691214203040547082981124812[[#This Row],[KM Inicial]]</f>
        <v>1122</v>
      </c>
      <c r="Q54" s="11">
        <v>684.88099999999997</v>
      </c>
      <c r="R54" s="11">
        <f>Table2691214203040547082981124812[[#This Row],[KM Rodado]]/Table2691214203040547082981124812[[#This Row],[Consumo Lt]]</f>
        <v>1.6382408038768779</v>
      </c>
      <c r="S54" s="11">
        <v>50.411999999999999</v>
      </c>
      <c r="T54" s="12">
        <v>3952.21</v>
      </c>
      <c r="U54" s="36" t="s">
        <v>38</v>
      </c>
      <c r="V54" s="37">
        <v>180</v>
      </c>
      <c r="X54" s="72"/>
      <c r="Y54" s="16">
        <v>46102</v>
      </c>
      <c r="Z54" s="10">
        <f t="shared" si="12"/>
        <v>161239</v>
      </c>
      <c r="AA54" s="10">
        <v>163323</v>
      </c>
      <c r="AB54" s="10">
        <f>Table269121420304054708298112481238[[#This Row],[KM Final]]-Table269121420304054708298112481238[[#This Row],[KM Inicial]]</f>
        <v>2084</v>
      </c>
      <c r="AC54" s="11">
        <v>205</v>
      </c>
      <c r="AD54" s="11">
        <f>Table269121420304054708298112481238[[#This Row],[KM Rodado]]/Table269121420304054708298112481238[[#This Row],[Consumo Lt]]</f>
        <v>10.165853658536586</v>
      </c>
      <c r="AE54" s="11"/>
      <c r="AF54" s="12">
        <v>1459.6</v>
      </c>
      <c r="AG54" s="36"/>
      <c r="AH54" s="37"/>
      <c r="AJ54" s="16">
        <v>46127</v>
      </c>
      <c r="AK54" s="10">
        <f t="shared" si="13"/>
        <v>174349</v>
      </c>
      <c r="AL54" s="10">
        <v>175853</v>
      </c>
      <c r="AM54" s="10">
        <f>Table26912142030405470829811248123870[[#This Row],[KM Final]]-Table26912142030405470829811248123870[[#This Row],[KM Inicial]]</f>
        <v>1504</v>
      </c>
      <c r="AN54" s="11">
        <v>457.06</v>
      </c>
      <c r="AO54" s="11">
        <f>Table26912142030405470829811248123870[[#This Row],[KM Rodado]]/Table26912142030405470829811248123870[[#This Row],[Consumo Lt]]</f>
        <v>3.2905964206012341</v>
      </c>
      <c r="AP54" s="11">
        <v>35.630000000000003</v>
      </c>
      <c r="AQ54" s="12">
        <v>3139.83</v>
      </c>
      <c r="AR54" s="36" t="s">
        <v>77</v>
      </c>
      <c r="AS54" s="37">
        <v>32.49</v>
      </c>
      <c r="AU54" s="72"/>
      <c r="AV54" s="16">
        <v>46158</v>
      </c>
      <c r="AW54" s="10">
        <f t="shared" si="14"/>
        <v>191652</v>
      </c>
      <c r="AX54" s="10">
        <v>192230</v>
      </c>
      <c r="AY54" s="10">
        <f>Table26912142030405470829811248123870134[[#This Row],[KM Final]]-Table26912142030405470829811248123870134[[#This Row],[KM Inicial]]</f>
        <v>578</v>
      </c>
      <c r="AZ54" s="11">
        <v>350</v>
      </c>
      <c r="BA54" s="11">
        <f>Table26912142030405470829811248123870134[[#This Row],[KM Rodado]]/Table26912142030405470829811248123870134[[#This Row],[Consumo Lt]]</f>
        <v>1.6514285714285715</v>
      </c>
      <c r="BB54" s="11">
        <v>27.05</v>
      </c>
      <c r="BC54" s="12">
        <v>2323.89</v>
      </c>
      <c r="BD54" s="36"/>
      <c r="BE54" s="37"/>
      <c r="BG54" s="72"/>
      <c r="BH54" s="16">
        <v>46192</v>
      </c>
      <c r="BI54" s="10">
        <f t="shared" si="15"/>
        <v>207248</v>
      </c>
      <c r="BJ54" s="10">
        <v>208802</v>
      </c>
      <c r="BK54" s="10">
        <f>Table26912142030405470829811261058[[#This Row],[KM Final]]-Table26912142030405470829811261058[[#This Row],[KM Inicial]]</f>
        <v>1554</v>
      </c>
      <c r="BL54" s="11">
        <v>486</v>
      </c>
      <c r="BM54" s="11">
        <f>Table26912142030405470829811261058[[#This Row],[KM Rodado]]/Table26912142030405470829811261058[[#This Row],[Consumo Lt]]</f>
        <v>3.1975308641975309</v>
      </c>
      <c r="BN54" s="11">
        <v>53.05</v>
      </c>
      <c r="BO54" s="12">
        <v>3172.26</v>
      </c>
      <c r="BP54" s="24"/>
      <c r="BQ54" s="14"/>
    </row>
    <row r="55" spans="1:69">
      <c r="A55" s="72"/>
      <c r="B55" s="16">
        <v>46052</v>
      </c>
      <c r="C55" s="10">
        <f t="shared" si="11"/>
        <v>148741</v>
      </c>
      <c r="D55" s="10">
        <v>150058</v>
      </c>
      <c r="E55" s="10">
        <f>Table269121420304054708298112610[[#This Row],[KM Final]]-Table269121420304054708298112610[[#This Row],[KM Inicial]]</f>
        <v>1317</v>
      </c>
      <c r="F55" s="10">
        <v>477</v>
      </c>
      <c r="G55" s="11">
        <f>Table269121420304054708298112610[[#This Row],[KM Rodado]]/Table269121420304054708298112610[[#This Row],[Consumo Lt]]</f>
        <v>2.7610062893081762</v>
      </c>
      <c r="H55" s="18">
        <v>36.100999999999999</v>
      </c>
      <c r="I55" s="12">
        <v>2772.3</v>
      </c>
      <c r="J55" s="24"/>
      <c r="K55" s="14"/>
      <c r="M55" s="16">
        <v>46072</v>
      </c>
      <c r="N55" s="10">
        <f>O54</f>
        <v>155886</v>
      </c>
      <c r="O55" s="10">
        <v>156133</v>
      </c>
      <c r="P55" s="10">
        <f>Table2691214203040547082981124812[[#This Row],[KM Final]]-Table2691214203040547082981124812[[#This Row],[KM Inicial]]</f>
        <v>247</v>
      </c>
      <c r="Q55" s="11">
        <v>54.91</v>
      </c>
      <c r="R55" s="11">
        <f>Table2691214203040547082981124812[[#This Row],[KM Rodado]]/Table2691214203040547082981124812[[#This Row],[Consumo Lt]]</f>
        <v>4.4982698961937722</v>
      </c>
      <c r="S55" s="11"/>
      <c r="T55" s="12">
        <v>302.55</v>
      </c>
      <c r="U55" s="36" t="s">
        <v>39</v>
      </c>
      <c r="V55" s="37">
        <v>160</v>
      </c>
      <c r="X55" s="72"/>
      <c r="Y55" s="16">
        <v>46103</v>
      </c>
      <c r="Z55" s="10">
        <f t="shared" si="12"/>
        <v>163323</v>
      </c>
      <c r="AA55" s="10">
        <v>163818</v>
      </c>
      <c r="AB55" s="10">
        <f>Table269121420304054708298112481238[[#This Row],[KM Final]]-Table269121420304054708298112481238[[#This Row],[KM Inicial]]</f>
        <v>495</v>
      </c>
      <c r="AC55" s="11">
        <v>648.54</v>
      </c>
      <c r="AD55" s="11">
        <f>Table269121420304054708298112481238[[#This Row],[KM Rodado]]/Table269121420304054708298112481238[[#This Row],[Consumo Lt]]</f>
        <v>0.76325284485151268</v>
      </c>
      <c r="AE55" s="11">
        <v>63.91</v>
      </c>
      <c r="AF55" s="12">
        <v>4795.91</v>
      </c>
      <c r="AG55" s="36"/>
      <c r="AH55" s="37"/>
      <c r="AJ55" s="16">
        <v>46128</v>
      </c>
      <c r="AK55" s="10">
        <f t="shared" si="13"/>
        <v>175853</v>
      </c>
      <c r="AL55" s="10">
        <v>176836</v>
      </c>
      <c r="AM55" s="10">
        <f>Table26912142030405470829811248123870[[#This Row],[KM Final]]-Table26912142030405470829811248123870[[#This Row],[KM Inicial]]</f>
        <v>983</v>
      </c>
      <c r="AN55" s="11">
        <v>260</v>
      </c>
      <c r="AO55" s="11">
        <f>Table26912142030405470829811248123870[[#This Row],[KM Rodado]]/Table26912142030405470829811248123870[[#This Row],[Consumo Lt]]</f>
        <v>3.7807692307692307</v>
      </c>
      <c r="AP55" s="11">
        <v>18</v>
      </c>
      <c r="AQ55" s="12">
        <v>1739.8</v>
      </c>
      <c r="AR55" s="36" t="s">
        <v>78</v>
      </c>
      <c r="AS55" s="37">
        <v>185.46</v>
      </c>
      <c r="AU55" s="72"/>
      <c r="AV55" s="16">
        <v>46159</v>
      </c>
      <c r="AW55" s="10">
        <f t="shared" si="14"/>
        <v>192230</v>
      </c>
      <c r="AX55" s="10">
        <v>193091</v>
      </c>
      <c r="AY55" s="10">
        <f>Table26912142030405470829811248123870134[[#This Row],[KM Final]]-Table26912142030405470829811248123870134[[#This Row],[KM Inicial]]</f>
        <v>861</v>
      </c>
      <c r="AZ55" s="11">
        <v>276.01</v>
      </c>
      <c r="BA55" s="11">
        <f>Table26912142030405470829811248123870134[[#This Row],[KM Rodado]]/Table26912142030405470829811248123870134[[#This Row],[Consumo Lt]]</f>
        <v>3.1194521937610955</v>
      </c>
      <c r="BB55" s="11">
        <v>32.630000000000003</v>
      </c>
      <c r="BC55" s="12">
        <v>1900.48</v>
      </c>
      <c r="BD55" s="36"/>
      <c r="BE55" s="37"/>
      <c r="BG55" s="72"/>
      <c r="BH55" s="16">
        <v>46194</v>
      </c>
      <c r="BI55" s="10">
        <f t="shared" si="15"/>
        <v>208802</v>
      </c>
      <c r="BJ55" s="10">
        <v>209738</v>
      </c>
      <c r="BK55" s="10">
        <f>Table26912142030405470829811261058[[#This Row],[KM Final]]-Table26912142030405470829811261058[[#This Row],[KM Inicial]]</f>
        <v>936</v>
      </c>
      <c r="BL55" s="11">
        <v>275</v>
      </c>
      <c r="BM55" s="11">
        <f>Table26912142030405470829811261058[[#This Row],[KM Rodado]]/Table26912142030405470829811261058[[#This Row],[Consumo Lt]]</f>
        <v>3.4036363636363638</v>
      </c>
      <c r="BN55" s="11">
        <v>30.02</v>
      </c>
      <c r="BO55" s="12">
        <v>1808.56</v>
      </c>
      <c r="BP55" s="24"/>
      <c r="BQ55" s="14"/>
    </row>
    <row r="56" spans="1:69">
      <c r="A56" s="72"/>
      <c r="B56" s="16"/>
      <c r="C56" s="10">
        <f t="shared" si="11"/>
        <v>150058</v>
      </c>
      <c r="D56" s="10"/>
      <c r="E56" s="10"/>
      <c r="F56" s="10"/>
      <c r="G56" s="11"/>
      <c r="H56" s="18"/>
      <c r="I56" s="12"/>
      <c r="J56" s="24"/>
      <c r="K56" s="14"/>
      <c r="M56" s="16">
        <v>46074</v>
      </c>
      <c r="N56" s="10">
        <f>O55</f>
        <v>156133</v>
      </c>
      <c r="O56" s="10">
        <v>157725</v>
      </c>
      <c r="P56" s="10">
        <f>Table2691214203040547082981124812[[#This Row],[KM Final]]-Table2691214203040547082981124812[[#This Row],[KM Inicial]]</f>
        <v>1592</v>
      </c>
      <c r="Q56" s="11">
        <v>572.01</v>
      </c>
      <c r="R56" s="11">
        <f>Table2691214203040547082981124812[[#This Row],[KM Rodado]]/Table2691214203040547082981124812[[#This Row],[Consumo Lt]]</f>
        <v>2.7831681264313564</v>
      </c>
      <c r="S56" s="11">
        <v>43.744</v>
      </c>
      <c r="T56" s="12">
        <v>3279.53</v>
      </c>
      <c r="U56" s="36" t="s">
        <v>40</v>
      </c>
      <c r="V56" s="37">
        <v>149</v>
      </c>
      <c r="X56" s="72"/>
      <c r="Y56" s="16">
        <v>46105</v>
      </c>
      <c r="Z56" s="10">
        <f t="shared" si="12"/>
        <v>163818</v>
      </c>
      <c r="AA56" s="10">
        <v>165498</v>
      </c>
      <c r="AB56" s="10">
        <f>Table269121420304054708298112481238[[#This Row],[KM Final]]-Table269121420304054708298112481238[[#This Row],[KM Inicial]]</f>
        <v>1680</v>
      </c>
      <c r="AC56" s="11">
        <v>510.79</v>
      </c>
      <c r="AD56" s="11">
        <f>Table269121420304054708298112481238[[#This Row],[KM Rodado]]/Table269121420304054708298112481238[[#This Row],[Consumo Lt]]</f>
        <v>3.2890228861175825</v>
      </c>
      <c r="AE56" s="11">
        <v>29.2</v>
      </c>
      <c r="AF56" s="12">
        <v>3651.46</v>
      </c>
      <c r="AG56" s="36"/>
      <c r="AH56" s="37"/>
      <c r="AJ56" s="16">
        <v>46130</v>
      </c>
      <c r="AK56" s="10">
        <f t="shared" si="13"/>
        <v>176836</v>
      </c>
      <c r="AL56" s="10">
        <v>178156</v>
      </c>
      <c r="AM56" s="10">
        <f>Table26912142030405470829811248123870[[#This Row],[KM Final]]-Table26912142030405470829811248123870[[#This Row],[KM Inicial]]</f>
        <v>1320</v>
      </c>
      <c r="AN56" s="11">
        <v>404.81</v>
      </c>
      <c r="AO56" s="11">
        <f>Table26912142030405470829811248123870[[#This Row],[KM Rodado]]/Table26912142030405470829811248123870[[#This Row],[Consumo Lt]]</f>
        <v>3.260789012129147</v>
      </c>
      <c r="AP56" s="11">
        <v>36.880000000000003</v>
      </c>
      <c r="AQ56" s="12">
        <v>2877.39</v>
      </c>
      <c r="AR56" s="36" t="s">
        <v>79</v>
      </c>
      <c r="AS56" s="37">
        <v>414</v>
      </c>
      <c r="AU56" s="72"/>
      <c r="AV56" s="16">
        <v>46162</v>
      </c>
      <c r="AW56" s="10">
        <f t="shared" si="14"/>
        <v>193091</v>
      </c>
      <c r="AX56" s="10">
        <v>195052</v>
      </c>
      <c r="AY56" s="10">
        <f>Table26912142030405470829811248123870134[[#This Row],[KM Final]]-Table26912142030405470829811248123870134[[#This Row],[KM Inicial]]</f>
        <v>1961</v>
      </c>
      <c r="AZ56" s="11">
        <v>590</v>
      </c>
      <c r="BA56" s="11">
        <f>Table26912142030405470829811248123870134[[#This Row],[KM Rodado]]/Table26912142030405470829811248123870134[[#This Row],[Consumo Lt]]</f>
        <v>3.3237288135593221</v>
      </c>
      <c r="BB56" s="11">
        <v>44.27</v>
      </c>
      <c r="BC56" s="12">
        <v>3899.51</v>
      </c>
      <c r="BD56" s="36"/>
      <c r="BE56" s="37"/>
      <c r="BG56" s="72"/>
      <c r="BH56" s="16">
        <v>46199</v>
      </c>
      <c r="BI56" s="10">
        <f t="shared" si="15"/>
        <v>209738</v>
      </c>
      <c r="BJ56" s="10">
        <v>211469</v>
      </c>
      <c r="BK56" s="10"/>
      <c r="BL56" s="11"/>
      <c r="BM56" s="11"/>
      <c r="BN56" s="11"/>
      <c r="BO56" s="12">
        <v>1647.5</v>
      </c>
      <c r="BP56" s="24"/>
      <c r="BQ56" s="14"/>
    </row>
    <row r="57" spans="1:69">
      <c r="A57" s="72"/>
      <c r="B57" s="10"/>
      <c r="C57" s="10"/>
      <c r="D57" s="10"/>
      <c r="E57" s="10"/>
      <c r="F57" s="10"/>
      <c r="G57" s="11"/>
      <c r="H57" s="18"/>
      <c r="I57" s="12"/>
      <c r="J57" s="24"/>
      <c r="K57" s="14"/>
      <c r="M57" s="10"/>
      <c r="N57" s="19">
        <f>O56</f>
        <v>157725</v>
      </c>
      <c r="O57" s="10"/>
      <c r="P57" s="10"/>
      <c r="Q57" s="11"/>
      <c r="R57" s="11"/>
      <c r="S57" s="11"/>
      <c r="T57" s="12"/>
      <c r="U57" s="36" t="s">
        <v>41</v>
      </c>
      <c r="V57" s="37">
        <v>3175.22</v>
      </c>
      <c r="X57" s="72"/>
      <c r="Y57" s="16">
        <v>46107</v>
      </c>
      <c r="Z57" s="10">
        <f t="shared" si="12"/>
        <v>165498</v>
      </c>
      <c r="AA57" s="10">
        <v>166476</v>
      </c>
      <c r="AB57" s="10">
        <f>Table269121420304054708298112481238[[#This Row],[KM Final]]-Table269121420304054708298112481238[[#This Row],[KM Inicial]]</f>
        <v>978</v>
      </c>
      <c r="AC57" s="11">
        <v>200</v>
      </c>
      <c r="AD57" s="11">
        <f>Table269121420304054708298112481238[[#This Row],[KM Rodado]]/Table269121420304054708298112481238[[#This Row],[Consumo Lt]]</f>
        <v>4.8899999999999997</v>
      </c>
      <c r="AE57" s="11"/>
      <c r="AF57" s="12">
        <v>1318</v>
      </c>
      <c r="AG57" s="36"/>
      <c r="AH57" s="37"/>
      <c r="AJ57" s="16">
        <v>46131</v>
      </c>
      <c r="AK57" s="10">
        <f t="shared" si="13"/>
        <v>178156</v>
      </c>
      <c r="AL57" s="10">
        <v>178721</v>
      </c>
      <c r="AM57" s="10">
        <f>Table26912142030405470829811248123870[[#This Row],[KM Final]]-Table26912142030405470829811248123870[[#This Row],[KM Inicial]]</f>
        <v>565</v>
      </c>
      <c r="AN57" s="11">
        <v>163</v>
      </c>
      <c r="AO57" s="11">
        <f>Table26912142030405470829811248123870[[#This Row],[KM Rodado]]/Table26912142030405470829811248123870[[#This Row],[Consumo Lt]]</f>
        <v>3.4662576687116564</v>
      </c>
      <c r="AP57" s="11">
        <v>15.02</v>
      </c>
      <c r="AQ57" s="12">
        <v>1150.3</v>
      </c>
      <c r="AR57" s="36" t="s">
        <v>80</v>
      </c>
      <c r="AS57" s="37">
        <v>340</v>
      </c>
      <c r="AU57" s="72"/>
      <c r="AV57" s="16">
        <v>46163</v>
      </c>
      <c r="AW57" s="10">
        <f t="shared" si="14"/>
        <v>195052</v>
      </c>
      <c r="AX57" s="10">
        <v>196015</v>
      </c>
      <c r="AY57" s="10">
        <f>Table26912142030405470829811248123870134[[#This Row],[KM Final]]-Table26912142030405470829811248123870134[[#This Row],[KM Inicial]]</f>
        <v>963</v>
      </c>
      <c r="AZ57" s="11">
        <v>300</v>
      </c>
      <c r="BA57" s="11">
        <f>Table26912142030405470829811248123870134[[#This Row],[KM Rodado]]/Table26912142030405470829811248123870134[[#This Row],[Consumo Lt]]</f>
        <v>3.21</v>
      </c>
      <c r="BB57" s="11"/>
      <c r="BC57" s="12">
        <v>1887</v>
      </c>
      <c r="BD57" s="36"/>
      <c r="BE57" s="37"/>
      <c r="BG57" s="72"/>
      <c r="BH57" s="16">
        <v>46200</v>
      </c>
      <c r="BI57" s="10">
        <f t="shared" si="15"/>
        <v>211469</v>
      </c>
      <c r="BJ57" s="10">
        <v>212165</v>
      </c>
      <c r="BK57" s="10">
        <v>2427</v>
      </c>
      <c r="BL57" s="11">
        <v>830.15</v>
      </c>
      <c r="BM57" s="11">
        <f>Table26912142030405470829811261058[[#This Row],[KM Rodado]]/Table26912142030405470829811261058[[#This Row],[Consumo Lt]]</f>
        <v>2.9235680298741191</v>
      </c>
      <c r="BN57" s="11"/>
      <c r="BO57" s="12">
        <v>3625.94</v>
      </c>
      <c r="BP57" s="24"/>
      <c r="BQ57" s="14"/>
    </row>
    <row r="58" spans="1:69">
      <c r="A58" s="72"/>
      <c r="B58" s="16"/>
      <c r="C58" s="10"/>
      <c r="D58" s="10"/>
      <c r="E58" s="10"/>
      <c r="F58" s="10"/>
      <c r="G58" s="11"/>
      <c r="H58" s="18"/>
      <c r="I58" s="12"/>
      <c r="J58" s="24"/>
      <c r="K58" s="14"/>
      <c r="M58" s="16"/>
      <c r="N58" s="10"/>
      <c r="O58" s="10"/>
      <c r="P58" s="10"/>
      <c r="Q58" s="11"/>
      <c r="R58" s="11"/>
      <c r="S58" s="11"/>
      <c r="T58" s="12"/>
      <c r="U58" s="36"/>
      <c r="V58" s="37"/>
      <c r="X58" s="72"/>
      <c r="Y58" s="16">
        <v>46107</v>
      </c>
      <c r="Z58" s="10">
        <f t="shared" si="12"/>
        <v>166476</v>
      </c>
      <c r="AA58" s="10">
        <v>166514</v>
      </c>
      <c r="AB58" s="10">
        <f>Table269121420304054708298112481238[[#This Row],[KM Final]]-Table269121420304054708298112481238[[#This Row],[KM Inicial]]</f>
        <v>38</v>
      </c>
      <c r="AC58" s="11">
        <v>127.86</v>
      </c>
      <c r="AD58" s="11">
        <f>Table269121420304054708298112481238[[#This Row],[KM Rodado]]/Table269121420304054708298112481238[[#This Row],[Consumo Lt]]</f>
        <v>0.29720006256843423</v>
      </c>
      <c r="AE58" s="11"/>
      <c r="AF58" s="12">
        <v>842.64</v>
      </c>
      <c r="AG58" s="36"/>
      <c r="AH58" s="37"/>
      <c r="AJ58" s="16">
        <v>46134</v>
      </c>
      <c r="AK58" s="10">
        <f t="shared" si="13"/>
        <v>178721</v>
      </c>
      <c r="AL58" s="10">
        <v>180441</v>
      </c>
      <c r="AM58" s="10">
        <f>Table26912142030405470829811248123870[[#This Row],[KM Final]]-Table26912142030405470829811248123870[[#This Row],[KM Inicial]]</f>
        <v>1720</v>
      </c>
      <c r="AN58" s="11">
        <v>540</v>
      </c>
      <c r="AO58" s="11">
        <f>Table26912142030405470829811248123870[[#This Row],[KM Rodado]]/Table26912142030405470829811248123870[[#This Row],[Consumo Lt]]</f>
        <v>3.1851851851851851</v>
      </c>
      <c r="AP58" s="11"/>
      <c r="AQ58" s="12">
        <v>3645</v>
      </c>
      <c r="AR58" s="36"/>
      <c r="AS58" s="37"/>
      <c r="AU58" s="72"/>
      <c r="AV58" s="16">
        <v>46165</v>
      </c>
      <c r="AW58" s="10">
        <f t="shared" si="14"/>
        <v>196015</v>
      </c>
      <c r="AX58" s="10">
        <v>197739</v>
      </c>
      <c r="AY58" s="10">
        <f>Table26912142030405470829811248123870134[[#This Row],[KM Final]]-Table26912142030405470829811248123870134[[#This Row],[KM Inicial]]</f>
        <v>1724</v>
      </c>
      <c r="AZ58" s="11">
        <v>496.07</v>
      </c>
      <c r="BA58" s="11">
        <f>Table26912142030405470829811248123870134[[#This Row],[KM Rodado]]/Table26912142030405470829811248123870134[[#This Row],[Consumo Lt]]</f>
        <v>3.4753159836313423</v>
      </c>
      <c r="BB58" s="11">
        <v>59</v>
      </c>
      <c r="BC58" s="12">
        <v>3204.52</v>
      </c>
      <c r="BD58" s="36"/>
      <c r="BE58" s="37"/>
      <c r="BG58" s="72"/>
      <c r="BH58" s="16">
        <v>46203</v>
      </c>
      <c r="BI58" s="10">
        <f t="shared" si="15"/>
        <v>212165</v>
      </c>
      <c r="BJ58" s="10">
        <v>213596</v>
      </c>
      <c r="BK58" s="10">
        <f>Table26912142030405470829811261058[[#This Row],[KM Final]]-Table26912142030405470829811261058[[#This Row],[KM Inicial]]</f>
        <v>1431</v>
      </c>
      <c r="BL58" s="11">
        <v>384.04</v>
      </c>
      <c r="BM58" s="11">
        <f>Table26912142030405470829811261058[[#This Row],[KM Rodado]]/Table26912142030405470829811261058[[#This Row],[Consumo Lt]]</f>
        <v>3.7261743568378294</v>
      </c>
      <c r="BN58" s="11">
        <v>69.66</v>
      </c>
      <c r="BO58" s="12">
        <v>2550.65</v>
      </c>
      <c r="BP58" s="24"/>
      <c r="BQ58" s="14"/>
    </row>
    <row r="59" spans="1:69">
      <c r="A59" s="72"/>
      <c r="B59" s="16"/>
      <c r="C59" s="10"/>
      <c r="D59" s="10"/>
      <c r="E59" s="10"/>
      <c r="F59" s="10"/>
      <c r="G59" s="11"/>
      <c r="H59" s="18"/>
      <c r="I59" s="12"/>
      <c r="J59" s="24"/>
      <c r="K59" s="14"/>
      <c r="M59" s="16"/>
      <c r="N59" s="10"/>
      <c r="O59" s="10"/>
      <c r="P59" s="10"/>
      <c r="Q59" s="11"/>
      <c r="R59" s="11"/>
      <c r="S59" s="11"/>
      <c r="T59" s="12"/>
      <c r="U59" s="36"/>
      <c r="V59" s="37"/>
      <c r="X59" s="72"/>
      <c r="Y59" s="16">
        <v>46110</v>
      </c>
      <c r="Z59" s="10">
        <f t="shared" si="12"/>
        <v>166514</v>
      </c>
      <c r="AA59" s="10">
        <v>168341</v>
      </c>
      <c r="AB59" s="10">
        <f>Table269121420304054708298112481238[[#This Row],[KM Final]]-Table269121420304054708298112481238[[#This Row],[KM Inicial]]</f>
        <v>1827</v>
      </c>
      <c r="AC59" s="11">
        <v>574.64</v>
      </c>
      <c r="AD59" s="11">
        <f>Table269121420304054708298112481238[[#This Row],[KM Rodado]]/Table269121420304054708298112481238[[#This Row],[Consumo Lt]]</f>
        <v>3.1793818738688571</v>
      </c>
      <c r="AE59" s="11">
        <v>70.06</v>
      </c>
      <c r="AF59" s="12">
        <v>4219.0200000000004</v>
      </c>
      <c r="AG59" s="36"/>
      <c r="AH59" s="37"/>
      <c r="AJ59" s="16">
        <v>46137</v>
      </c>
      <c r="AK59" s="10">
        <f t="shared" si="13"/>
        <v>180441</v>
      </c>
      <c r="AL59" s="10">
        <v>181722</v>
      </c>
      <c r="AM59" s="10">
        <f>Table26912142030405470829811248123870[[#This Row],[KM Final]]-Table26912142030405470829811248123870[[#This Row],[KM Inicial]]</f>
        <v>1281</v>
      </c>
      <c r="AN59" s="11">
        <v>380.44</v>
      </c>
      <c r="AO59" s="11">
        <f>Table26912142030405470829811248123870[[#This Row],[KM Rodado]]/Table26912142030405470829811248123870[[#This Row],[Consumo Lt]]</f>
        <v>3.3671538218904429</v>
      </c>
      <c r="AP59" s="11">
        <v>65.3</v>
      </c>
      <c r="AQ59" s="12">
        <v>2695.31</v>
      </c>
      <c r="AR59" s="36"/>
      <c r="AS59" s="37"/>
      <c r="AU59" s="72"/>
      <c r="AV59" s="16">
        <v>46168</v>
      </c>
      <c r="AW59" s="10">
        <f t="shared" si="14"/>
        <v>197739</v>
      </c>
      <c r="AX59" s="10">
        <v>198722</v>
      </c>
      <c r="AY59" s="10">
        <f>Table26912142030405470829811248123870134[[#This Row],[KM Final]]-Table26912142030405470829811248123870134[[#This Row],[KM Inicial]]</f>
        <v>983</v>
      </c>
      <c r="AZ59" s="11">
        <v>258</v>
      </c>
      <c r="BA59" s="11">
        <f>Table26912142030405470829811248123870134[[#This Row],[KM Rodado]]/Table26912142030405470829811248123870134[[#This Row],[Consumo Lt]]</f>
        <v>3.8100775193798451</v>
      </c>
      <c r="BB59" s="11"/>
      <c r="BC59" s="12">
        <v>1568.65</v>
      </c>
      <c r="BD59" s="36"/>
      <c r="BE59" s="37"/>
      <c r="BG59" s="72"/>
      <c r="BH59" s="16"/>
      <c r="BI59" s="19">
        <f t="shared" si="15"/>
        <v>213596</v>
      </c>
      <c r="BJ59" s="10"/>
      <c r="BK59" s="10"/>
      <c r="BL59" s="11"/>
      <c r="BM59" s="11"/>
      <c r="BN59" s="11"/>
      <c r="BO59" s="12"/>
      <c r="BP59" s="24"/>
      <c r="BQ59" s="14"/>
    </row>
    <row r="60" spans="1:69">
      <c r="A60" s="72"/>
      <c r="B60" s="16"/>
      <c r="C60" s="10"/>
      <c r="D60" s="10"/>
      <c r="E60" s="10"/>
      <c r="F60" s="10"/>
      <c r="G60" s="11"/>
      <c r="H60" s="18"/>
      <c r="I60" s="12"/>
      <c r="J60" s="24"/>
      <c r="K60" s="14"/>
      <c r="M60" s="16"/>
      <c r="N60" s="10"/>
      <c r="O60" s="10"/>
      <c r="P60" s="10"/>
      <c r="Q60" s="11"/>
      <c r="R60" s="11"/>
      <c r="S60" s="11"/>
      <c r="T60" s="12"/>
      <c r="U60" s="36"/>
      <c r="V60" s="37"/>
      <c r="X60" s="72"/>
      <c r="Y60" s="16"/>
      <c r="Z60" s="19">
        <f t="shared" si="12"/>
        <v>168341</v>
      </c>
      <c r="AA60" s="10"/>
      <c r="AB60" s="10"/>
      <c r="AC60" s="11"/>
      <c r="AD60" s="11"/>
      <c r="AE60" s="11"/>
      <c r="AF60" s="12"/>
      <c r="AG60" s="36"/>
      <c r="AH60" s="37"/>
      <c r="AJ60" s="16">
        <v>46139</v>
      </c>
      <c r="AK60" s="10">
        <f t="shared" si="13"/>
        <v>181722</v>
      </c>
      <c r="AL60" s="10">
        <v>182739</v>
      </c>
      <c r="AM60" s="10">
        <f>Table26912142030405470829811248123870[[#This Row],[KM Final]]-Table26912142030405470829811248123870[[#This Row],[KM Inicial]]</f>
        <v>1017</v>
      </c>
      <c r="AN60" s="11">
        <v>292</v>
      </c>
      <c r="AO60" s="11">
        <f>Table26912142030405470829811248123870[[#This Row],[KM Rodado]]/Table26912142030405470829811248123870[[#This Row],[Consumo Lt]]</f>
        <v>3.4828767123287672</v>
      </c>
      <c r="AP60" s="11">
        <v>32</v>
      </c>
      <c r="AQ60" s="12">
        <v>1956.69</v>
      </c>
      <c r="AR60" s="36"/>
      <c r="AS60" s="37"/>
      <c r="AU60" s="72"/>
      <c r="AV60" s="16">
        <v>46171</v>
      </c>
      <c r="AW60" s="10">
        <f t="shared" si="14"/>
        <v>198722</v>
      </c>
      <c r="AX60" s="10">
        <v>199934</v>
      </c>
      <c r="AY60" s="10">
        <f>Table26912142030405470829811248123870134[[#This Row],[KM Final]]-Table26912142030405470829811248123870134[[#This Row],[KM Inicial]]</f>
        <v>1212</v>
      </c>
      <c r="AZ60" s="11">
        <v>350.99</v>
      </c>
      <c r="BA60" s="11">
        <f>Table26912142030405470829811248123870134[[#This Row],[KM Rodado]]/Table26912142030405470829811248123870134[[#This Row],[Consumo Lt]]</f>
        <v>3.4530898316191343</v>
      </c>
      <c r="BB60" s="11">
        <v>48.6</v>
      </c>
      <c r="BC60" s="12">
        <v>2381.9299999999998</v>
      </c>
      <c r="BD60" s="36"/>
      <c r="BE60" s="37"/>
      <c r="BG60" s="72"/>
      <c r="BH60" s="16"/>
      <c r="BI60" s="10"/>
      <c r="BJ60" s="10"/>
      <c r="BK60" s="10"/>
      <c r="BL60" s="11"/>
      <c r="BM60" s="11"/>
      <c r="BN60" s="11"/>
      <c r="BO60" s="12"/>
      <c r="BP60" s="24"/>
      <c r="BQ60" s="14"/>
    </row>
    <row r="61" spans="1:69">
      <c r="A61" s="72"/>
      <c r="B61" s="16"/>
      <c r="C61" s="10"/>
      <c r="D61" s="10"/>
      <c r="E61" s="10"/>
      <c r="F61" s="10"/>
      <c r="G61" s="11"/>
      <c r="H61" s="18"/>
      <c r="I61" s="12"/>
      <c r="J61" s="24"/>
      <c r="K61" s="14"/>
      <c r="M61" s="16"/>
      <c r="N61" s="10"/>
      <c r="O61" s="10"/>
      <c r="P61" s="10"/>
      <c r="Q61" s="11"/>
      <c r="R61" s="11"/>
      <c r="S61" s="11"/>
      <c r="T61" s="12"/>
      <c r="U61" s="36"/>
      <c r="V61" s="37"/>
      <c r="X61" s="72"/>
      <c r="Y61" s="16"/>
      <c r="Z61" s="10"/>
      <c r="AA61" s="10"/>
      <c r="AB61" s="10"/>
      <c r="AC61" s="11"/>
      <c r="AD61" s="11"/>
      <c r="AE61" s="11"/>
      <c r="AF61" s="12"/>
      <c r="AG61" s="36"/>
      <c r="AH61" s="37"/>
      <c r="AJ61" s="16">
        <v>46141</v>
      </c>
      <c r="AK61" s="10">
        <f t="shared" si="13"/>
        <v>182739</v>
      </c>
      <c r="AL61" s="10">
        <v>184524</v>
      </c>
      <c r="AM61" s="10">
        <f>Table26912142030405470829811248123870[[#This Row],[KM Final]]-Table26912142030405470829811248123870[[#This Row],[KM Inicial]]</f>
        <v>1785</v>
      </c>
      <c r="AN61" s="11">
        <v>301.64</v>
      </c>
      <c r="AO61" s="11">
        <f>Table26912142030405470829811248123870[[#This Row],[KM Rodado]]/Table26912142030405470829811248123870[[#This Row],[Consumo Lt]]</f>
        <v>5.9176501790213498</v>
      </c>
      <c r="AP61" s="11"/>
      <c r="AQ61" s="12">
        <v>2000</v>
      </c>
      <c r="AR61" s="36"/>
      <c r="AS61" s="37"/>
      <c r="AU61" s="72"/>
      <c r="AV61" s="16">
        <v>46172</v>
      </c>
      <c r="AW61" s="10">
        <f t="shared" si="14"/>
        <v>199934</v>
      </c>
      <c r="AX61" s="10">
        <v>200780</v>
      </c>
      <c r="AY61" s="10">
        <f>Table26912142030405470829811248123870134[[#This Row],[KM Final]]-Table26912142030405470829811248123870134[[#This Row],[KM Inicial]]</f>
        <v>846</v>
      </c>
      <c r="AZ61" s="11">
        <v>275</v>
      </c>
      <c r="BA61" s="11">
        <f>Table26912142030405470829811248123870134[[#This Row],[KM Rodado]]/Table26912142030405470829811248123870134[[#This Row],[Consumo Lt]]</f>
        <v>3.0763636363636362</v>
      </c>
      <c r="BB61" s="11">
        <v>25.06</v>
      </c>
      <c r="BC61" s="12">
        <v>1862.29</v>
      </c>
      <c r="BD61" s="36"/>
      <c r="BE61" s="37"/>
      <c r="BG61" s="72"/>
      <c r="BH61" s="16"/>
      <c r="BI61" s="10"/>
      <c r="BJ61" s="10"/>
      <c r="BK61" s="10"/>
      <c r="BL61" s="11"/>
      <c r="BM61" s="11"/>
      <c r="BN61" s="11"/>
      <c r="BO61" s="12"/>
      <c r="BP61" s="24"/>
      <c r="BQ61" s="14"/>
    </row>
    <row r="62" spans="1:69">
      <c r="A62" s="72"/>
      <c r="B62" s="10"/>
      <c r="C62" s="10"/>
      <c r="D62" s="10"/>
      <c r="E62" s="10"/>
      <c r="F62" s="10"/>
      <c r="G62" s="11"/>
      <c r="H62" s="18"/>
      <c r="I62" s="12"/>
      <c r="J62" s="24"/>
      <c r="K62" s="14"/>
      <c r="M62" s="10"/>
      <c r="N62" s="10"/>
      <c r="O62" s="10"/>
      <c r="P62" s="10"/>
      <c r="Q62" s="11"/>
      <c r="R62" s="11"/>
      <c r="S62" s="11"/>
      <c r="T62" s="12"/>
      <c r="U62" s="36"/>
      <c r="V62" s="37"/>
      <c r="X62" s="72"/>
      <c r="Y62" s="10"/>
      <c r="Z62" s="10"/>
      <c r="AA62" s="10"/>
      <c r="AB62" s="10"/>
      <c r="AC62" s="11"/>
      <c r="AD62" s="11"/>
      <c r="AE62" s="11"/>
      <c r="AF62" s="12"/>
      <c r="AG62" s="36"/>
      <c r="AH62" s="37"/>
      <c r="AJ62" s="16">
        <v>46142</v>
      </c>
      <c r="AK62" s="10">
        <f t="shared" si="13"/>
        <v>184524</v>
      </c>
      <c r="AL62" s="10">
        <v>185530</v>
      </c>
      <c r="AM62" s="10">
        <f>Table26912142030405470829811248123870[[#This Row],[KM Final]]-Table26912142030405470829811248123870[[#This Row],[KM Inicial]]</f>
        <v>1006</v>
      </c>
      <c r="AN62" s="11">
        <v>493.85</v>
      </c>
      <c r="AO62" s="11">
        <f>Table26912142030405470829811248123870[[#This Row],[KM Rodado]]/Table26912142030405470829811248123870[[#This Row],[Consumo Lt]]</f>
        <v>2.0370557861698897</v>
      </c>
      <c r="AP62" s="11">
        <v>63.75</v>
      </c>
      <c r="AQ62" s="12">
        <v>3391.38</v>
      </c>
      <c r="AR62" s="36"/>
      <c r="AS62" s="37"/>
      <c r="AU62" s="72"/>
      <c r="AV62" s="16"/>
      <c r="AW62" s="19">
        <f t="shared" si="14"/>
        <v>200780</v>
      </c>
      <c r="AX62" s="10"/>
      <c r="AY62" s="10"/>
      <c r="AZ62" s="11"/>
      <c r="BA62" s="11"/>
      <c r="BB62" s="11"/>
      <c r="BC62" s="12"/>
      <c r="BD62" s="36"/>
      <c r="BE62" s="37"/>
      <c r="BG62" s="72"/>
      <c r="BH62" s="16"/>
      <c r="BI62" s="19"/>
      <c r="BJ62" s="10"/>
      <c r="BK62" s="10"/>
      <c r="BL62" s="11"/>
      <c r="BM62" s="11"/>
      <c r="BN62" s="11"/>
      <c r="BO62" s="12"/>
      <c r="BP62" s="24"/>
      <c r="BQ62" s="14"/>
    </row>
    <row r="63" spans="1:69">
      <c r="A63" s="72"/>
      <c r="B63" s="10"/>
      <c r="C63" s="10"/>
      <c r="D63" s="10"/>
      <c r="E63" s="10"/>
      <c r="F63" s="10"/>
      <c r="G63" s="11"/>
      <c r="H63" s="18"/>
      <c r="I63" s="12"/>
      <c r="J63" s="24"/>
      <c r="K63" s="14"/>
      <c r="M63" s="10"/>
      <c r="N63" s="10"/>
      <c r="O63" s="10"/>
      <c r="P63" s="10"/>
      <c r="Q63" s="11"/>
      <c r="R63" s="11"/>
      <c r="S63" s="11"/>
      <c r="T63" s="12"/>
      <c r="U63" s="36"/>
      <c r="V63" s="37"/>
      <c r="X63" s="72"/>
      <c r="Y63" s="10"/>
      <c r="Z63" s="10"/>
      <c r="AA63" s="10"/>
      <c r="AB63" s="10"/>
      <c r="AC63" s="11"/>
      <c r="AD63" s="11"/>
      <c r="AE63" s="11"/>
      <c r="AF63" s="12"/>
      <c r="AG63" s="36"/>
      <c r="AH63" s="37"/>
      <c r="AJ63" s="10"/>
      <c r="AK63" s="19">
        <f t="shared" si="13"/>
        <v>185530</v>
      </c>
      <c r="AL63" s="10"/>
      <c r="AM63" s="10"/>
      <c r="AN63" s="11"/>
      <c r="AO63" s="11"/>
      <c r="AP63" s="11"/>
      <c r="AQ63" s="12"/>
      <c r="AR63" s="36"/>
      <c r="AS63" s="37"/>
      <c r="AU63" s="72"/>
      <c r="AV63" s="10"/>
      <c r="AW63" s="19"/>
      <c r="AX63" s="10"/>
      <c r="AY63" s="10"/>
      <c r="AZ63" s="11"/>
      <c r="BA63" s="11"/>
      <c r="BB63" s="11"/>
      <c r="BC63" s="12"/>
      <c r="BD63" s="36"/>
      <c r="BE63" s="37"/>
      <c r="BG63" s="72"/>
      <c r="BH63" s="10"/>
      <c r="BI63" s="10"/>
      <c r="BJ63" s="10"/>
      <c r="BK63" s="10"/>
      <c r="BL63" s="11"/>
      <c r="BM63" s="11"/>
      <c r="BN63" s="11"/>
      <c r="BO63" s="12"/>
      <c r="BP63" s="24"/>
      <c r="BQ63" s="14"/>
    </row>
    <row r="64" spans="1:69">
      <c r="A64" s="72"/>
      <c r="B64" s="10"/>
      <c r="C64" s="10"/>
      <c r="D64" s="10"/>
      <c r="E64" s="10"/>
      <c r="F64" s="10"/>
      <c r="G64" s="11"/>
      <c r="H64" s="18"/>
      <c r="I64" s="12"/>
      <c r="J64" s="24"/>
      <c r="K64" s="14"/>
      <c r="M64" s="10"/>
      <c r="N64" s="10"/>
      <c r="O64" s="10"/>
      <c r="P64" s="10"/>
      <c r="Q64" s="11"/>
      <c r="R64" s="11"/>
      <c r="S64" s="11"/>
      <c r="T64" s="12"/>
      <c r="U64" s="36"/>
      <c r="V64" s="37"/>
      <c r="X64" s="72"/>
      <c r="Y64" s="10"/>
      <c r="Z64" s="10"/>
      <c r="AA64" s="10"/>
      <c r="AB64" s="10"/>
      <c r="AC64" s="11"/>
      <c r="AD64" s="11"/>
      <c r="AE64" s="11"/>
      <c r="AF64" s="12"/>
      <c r="AG64" s="36"/>
      <c r="AH64" s="37"/>
      <c r="AJ64" s="10"/>
      <c r="AK64" s="10"/>
      <c r="AL64" s="10"/>
      <c r="AM64" s="10"/>
      <c r="AN64" s="11"/>
      <c r="AO64" s="11"/>
      <c r="AP64" s="11"/>
      <c r="AQ64" s="12"/>
      <c r="AR64" s="36"/>
      <c r="AS64" s="37"/>
      <c r="AU64" s="72"/>
      <c r="AV64" s="10"/>
      <c r="AW64" s="10"/>
      <c r="AX64" s="10"/>
      <c r="AY64" s="10"/>
      <c r="AZ64" s="11"/>
      <c r="BA64" s="11"/>
      <c r="BB64" s="11"/>
      <c r="BC64" s="12"/>
      <c r="BD64" s="36"/>
      <c r="BE64" s="37"/>
      <c r="BG64" s="72"/>
      <c r="BH64" s="10"/>
      <c r="BI64" s="10"/>
      <c r="BJ64" s="10"/>
      <c r="BK64" s="10"/>
      <c r="BL64" s="11"/>
      <c r="BM64" s="11"/>
      <c r="BN64" s="11"/>
      <c r="BO64" s="12"/>
      <c r="BP64" s="24"/>
      <c r="BQ64" s="14"/>
    </row>
    <row r="65" spans="1:69">
      <c r="A65" s="72"/>
      <c r="B65" s="10"/>
      <c r="C65" s="10"/>
      <c r="D65" s="10"/>
      <c r="E65" s="10"/>
      <c r="F65" s="10"/>
      <c r="G65" s="11"/>
      <c r="H65" s="18"/>
      <c r="I65" s="12"/>
      <c r="J65" s="24"/>
      <c r="K65" s="14"/>
      <c r="M65" s="10"/>
      <c r="N65" s="10"/>
      <c r="O65" s="10"/>
      <c r="P65" s="10"/>
      <c r="Q65" s="11"/>
      <c r="R65" s="11"/>
      <c r="S65" s="11"/>
      <c r="T65" s="12"/>
      <c r="U65" s="36"/>
      <c r="V65" s="37"/>
      <c r="X65" s="72"/>
      <c r="Y65" s="10"/>
      <c r="Z65" s="10"/>
      <c r="AA65" s="10"/>
      <c r="AB65" s="10"/>
      <c r="AC65" s="11"/>
      <c r="AD65" s="11"/>
      <c r="AE65" s="11"/>
      <c r="AF65" s="12"/>
      <c r="AG65" s="36"/>
      <c r="AH65" s="37"/>
      <c r="AJ65" s="10"/>
      <c r="AK65" s="10"/>
      <c r="AL65" s="10"/>
      <c r="AM65" s="10"/>
      <c r="AN65" s="11"/>
      <c r="AO65" s="11"/>
      <c r="AP65" s="11"/>
      <c r="AQ65" s="12"/>
      <c r="AR65" s="36"/>
      <c r="AS65" s="37"/>
      <c r="AU65" s="72"/>
      <c r="AV65" s="10"/>
      <c r="AW65" s="10"/>
      <c r="AX65" s="10"/>
      <c r="AY65" s="10"/>
      <c r="AZ65" s="11"/>
      <c r="BA65" s="11"/>
      <c r="BB65" s="11"/>
      <c r="BC65" s="12"/>
      <c r="BD65" s="36"/>
      <c r="BE65" s="37"/>
      <c r="BG65" s="72"/>
      <c r="BH65" s="10"/>
      <c r="BI65" s="10"/>
      <c r="BJ65" s="10"/>
      <c r="BK65" s="10"/>
      <c r="BL65" s="11"/>
      <c r="BM65" s="11"/>
      <c r="BN65" s="11"/>
      <c r="BO65" s="12"/>
      <c r="BP65" s="24"/>
      <c r="BQ65" s="14"/>
    </row>
    <row r="66" spans="1:69">
      <c r="A66" s="72"/>
      <c r="B66" s="22"/>
      <c r="C66" s="22"/>
      <c r="D66" s="23"/>
      <c r="E66" s="23">
        <f>SUM(E49:E65)</f>
        <v>11050</v>
      </c>
      <c r="F66" s="23">
        <f>SUM(F49:F65)</f>
        <v>3940.5320000000002</v>
      </c>
      <c r="G66" s="30">
        <f>Table269121420304054708298112610[[#This Row],[KM Rodado]]/Table269121420304054708298112610[[#This Row],[Consumo Lt]]</f>
        <v>2.8041898911111494</v>
      </c>
      <c r="H66" s="22"/>
      <c r="I66" s="27">
        <f>SUM(I49:I65)</f>
        <v>22749.16</v>
      </c>
      <c r="J66" s="21" t="s">
        <v>10</v>
      </c>
      <c r="K66" s="21">
        <f>SUM(K49:K65)</f>
        <v>804</v>
      </c>
      <c r="M66" s="22"/>
      <c r="N66" s="22"/>
      <c r="O66" s="23"/>
      <c r="P66" s="23">
        <f>SUM(P49:P65)</f>
        <v>7667</v>
      </c>
      <c r="Q66" s="30">
        <f>SUM(Q49:Q65)</f>
        <v>3246.3209999999999</v>
      </c>
      <c r="R66" s="30">
        <f>Table2691214203040547082981124812[[#This Row],[KM Rodado]]/Table2691214203040547082981124812[[#This Row],[Consumo Lt]]</f>
        <v>2.3617504245575223</v>
      </c>
      <c r="S66" s="22"/>
      <c r="T66" s="22">
        <f>SUM(T49:T65)</f>
        <v>18683.3</v>
      </c>
      <c r="U66" s="21" t="s">
        <v>10</v>
      </c>
      <c r="V66" s="21">
        <f>SUM(V49:V65)</f>
        <v>5500.2199999999993</v>
      </c>
      <c r="X66" s="72"/>
      <c r="Y66" s="22"/>
      <c r="Z66" s="22"/>
      <c r="AA66" s="23"/>
      <c r="AB66" s="23">
        <f>SUM(AB49:AB65)</f>
        <v>10616</v>
      </c>
      <c r="AC66" s="30">
        <f>SUM(AC49:AC65)</f>
        <v>3420.03</v>
      </c>
      <c r="AD66" s="30">
        <f>Table269121420304054708298112481238[[#This Row],[KM Rodado]]/Table269121420304054708298112481238[[#This Row],[Consumo Lt]]</f>
        <v>3.104066338599369</v>
      </c>
      <c r="AE66" s="22">
        <f>SUM(AE49:AE65)</f>
        <v>248.91</v>
      </c>
      <c r="AF66" s="22">
        <f>SUM(AF49:AF65)</f>
        <v>23813.45</v>
      </c>
      <c r="AG66" s="21" t="s">
        <v>10</v>
      </c>
      <c r="AH66" s="21">
        <f>SUM(AH49:AH65)</f>
        <v>1150.9000000000001</v>
      </c>
      <c r="AJ66" s="22"/>
      <c r="AK66" s="22"/>
      <c r="AL66" s="23"/>
      <c r="AM66" s="23">
        <f>SUM(AM49:AM65)</f>
        <v>17189</v>
      </c>
      <c r="AN66" s="30">
        <f>SUM(AN49:AN65)</f>
        <v>5015.47</v>
      </c>
      <c r="AO66" s="30">
        <f>Table26912142030405470829811248123870[[#This Row],[KM Rodado]]/Table26912142030405470829811248123870[[#This Row],[Consumo Lt]]</f>
        <v>3.4271962547876869</v>
      </c>
      <c r="AP66" s="22">
        <f>SUM(AP49:AP65)</f>
        <v>403.88</v>
      </c>
      <c r="AQ66" s="22">
        <f>SUM(AQ49:AQ65)</f>
        <v>35043.629999999997</v>
      </c>
      <c r="AR66" s="21" t="s">
        <v>10</v>
      </c>
      <c r="AS66" s="21">
        <f>SUM(AS49:AS65)</f>
        <v>5375.95</v>
      </c>
      <c r="AU66" s="72"/>
      <c r="AV66" s="22"/>
      <c r="AW66" s="22"/>
      <c r="AX66" s="23"/>
      <c r="AY66" s="23">
        <f>AW62-AW49</f>
        <v>15250</v>
      </c>
      <c r="AZ66" s="30">
        <f>SUM(AZ49:AZ65)</f>
        <v>4608.5</v>
      </c>
      <c r="BA66" s="30">
        <f>Table26912142030405470829811248123870134[[#This Row],[KM Rodado]]/Table26912142030405470829811248123870134[[#This Row],[Consumo Lt]]</f>
        <v>3.3091027449278507</v>
      </c>
      <c r="BB66" s="23">
        <f>SUM(BB49:BB65)</f>
        <v>391.76000000000005</v>
      </c>
      <c r="BC66" s="22">
        <f>SUM(BC49:BC65)</f>
        <v>30465.440000000002</v>
      </c>
      <c r="BD66" s="21" t="s">
        <v>10</v>
      </c>
      <c r="BE66" s="21">
        <f>SUM(BE49:BE65)</f>
        <v>4717.55</v>
      </c>
      <c r="BG66" s="72"/>
      <c r="BH66" s="22"/>
      <c r="BI66" s="22"/>
      <c r="BJ66" s="23"/>
      <c r="BK66" s="23">
        <f>BI59-BI49</f>
        <v>12816</v>
      </c>
      <c r="BL66" s="30">
        <f>SUM(BL49:BL65)</f>
        <v>3906.97</v>
      </c>
      <c r="BM66" s="30">
        <f>Table26912142030405470829811261058[[#This Row],[KM Rodado]]/Table26912142030405470829811261058[[#This Row],[Consumo Lt]]</f>
        <v>3.2802913766934481</v>
      </c>
      <c r="BN66" s="30">
        <f>SUM(BN49:BN65)</f>
        <v>286.23</v>
      </c>
      <c r="BO66" s="27">
        <f>SUM(BO49:BO65)</f>
        <v>25153.68</v>
      </c>
      <c r="BP66" s="21" t="s">
        <v>10</v>
      </c>
      <c r="BQ66" s="21">
        <f>SUM(BQ49:BQ65)</f>
        <v>804</v>
      </c>
    </row>
    <row r="70" spans="1:69" ht="33.75" customHeight="1">
      <c r="B70" s="71">
        <v>46023</v>
      </c>
      <c r="C70" s="71"/>
      <c r="D70" s="71"/>
      <c r="E70" s="71"/>
      <c r="F70" s="71"/>
      <c r="G70" s="71"/>
      <c r="H70" s="71"/>
      <c r="I70" s="71"/>
      <c r="J70" s="71"/>
      <c r="L70" s="73">
        <v>46054</v>
      </c>
      <c r="M70" s="73"/>
      <c r="N70" s="73"/>
      <c r="O70" s="73"/>
      <c r="P70" s="73"/>
      <c r="Q70" s="73"/>
      <c r="R70" s="73"/>
      <c r="S70" s="73"/>
      <c r="T70" s="73"/>
      <c r="W70" s="71">
        <v>46082</v>
      </c>
      <c r="X70" s="71"/>
      <c r="Y70" s="71"/>
      <c r="Z70" s="71"/>
      <c r="AA70" s="71"/>
      <c r="AB70" s="71"/>
      <c r="AC70" s="71"/>
      <c r="AD70" s="71"/>
      <c r="AE70" s="71"/>
      <c r="AF70" s="71"/>
      <c r="AI70" s="73">
        <v>46113</v>
      </c>
      <c r="AJ70" s="73"/>
      <c r="AK70" s="73"/>
      <c r="AL70" s="73"/>
      <c r="AM70" s="73"/>
      <c r="AN70" s="73"/>
      <c r="AO70" s="73"/>
      <c r="AP70" s="73"/>
      <c r="AQ70" s="73"/>
      <c r="AU70" s="73">
        <v>46143</v>
      </c>
      <c r="AV70" s="73"/>
      <c r="AW70" s="73"/>
      <c r="AX70" s="73"/>
      <c r="AY70" s="73"/>
      <c r="AZ70" s="73"/>
      <c r="BA70" s="73"/>
      <c r="BB70" s="73"/>
      <c r="BC70" s="73"/>
      <c r="BH70" s="71">
        <v>46174</v>
      </c>
      <c r="BI70" s="71"/>
      <c r="BJ70" s="71"/>
      <c r="BK70" s="71"/>
      <c r="BL70" s="71"/>
      <c r="BM70" s="71"/>
      <c r="BN70" s="71"/>
      <c r="BO70" s="71"/>
      <c r="BP70" s="71"/>
    </row>
    <row r="71" spans="1:69">
      <c r="A71" s="1" t="s">
        <v>11</v>
      </c>
      <c r="B71" s="1" t="s">
        <v>0</v>
      </c>
      <c r="C71" s="1" t="s">
        <v>1</v>
      </c>
      <c r="D71" s="1" t="s">
        <v>2</v>
      </c>
      <c r="E71" s="1" t="s">
        <v>3</v>
      </c>
      <c r="F71" s="1" t="s">
        <v>4</v>
      </c>
      <c r="G71" s="1" t="s">
        <v>5</v>
      </c>
      <c r="H71" s="17" t="s">
        <v>21</v>
      </c>
      <c r="I71" s="2" t="s">
        <v>6</v>
      </c>
      <c r="J71" s="3" t="s">
        <v>7</v>
      </c>
      <c r="K71" s="4" t="s">
        <v>6</v>
      </c>
      <c r="M71" s="1" t="s">
        <v>0</v>
      </c>
      <c r="N71" s="1" t="s">
        <v>1</v>
      </c>
      <c r="O71" s="1" t="s">
        <v>2</v>
      </c>
      <c r="P71" s="1" t="s">
        <v>3</v>
      </c>
      <c r="Q71" s="1" t="s">
        <v>4</v>
      </c>
      <c r="R71" s="1" t="s">
        <v>5</v>
      </c>
      <c r="S71" s="17" t="s">
        <v>21</v>
      </c>
      <c r="T71" s="2" t="s">
        <v>6</v>
      </c>
      <c r="U71" s="3" t="s">
        <v>7</v>
      </c>
      <c r="V71" s="4" t="s">
        <v>6</v>
      </c>
      <c r="X71" s="1" t="s">
        <v>11</v>
      </c>
      <c r="Y71" s="1" t="s">
        <v>0</v>
      </c>
      <c r="Z71" s="1" t="s">
        <v>1</v>
      </c>
      <c r="AA71" s="1" t="s">
        <v>2</v>
      </c>
      <c r="AB71" s="1" t="s">
        <v>3</v>
      </c>
      <c r="AC71" s="1" t="s">
        <v>4</v>
      </c>
      <c r="AD71" s="1" t="s">
        <v>5</v>
      </c>
      <c r="AE71" s="17" t="s">
        <v>21</v>
      </c>
      <c r="AF71" s="2" t="s">
        <v>6</v>
      </c>
      <c r="AG71" s="3" t="s">
        <v>7</v>
      </c>
      <c r="AH71" s="4" t="s">
        <v>6</v>
      </c>
      <c r="AJ71" s="1" t="s">
        <v>0</v>
      </c>
      <c r="AK71" s="1" t="s">
        <v>1</v>
      </c>
      <c r="AL71" s="1" t="s">
        <v>2</v>
      </c>
      <c r="AM71" s="1" t="s">
        <v>3</v>
      </c>
      <c r="AN71" s="1" t="s">
        <v>4</v>
      </c>
      <c r="AO71" s="1" t="s">
        <v>5</v>
      </c>
      <c r="AP71" s="17" t="s">
        <v>21</v>
      </c>
      <c r="AQ71" s="2" t="s">
        <v>6</v>
      </c>
      <c r="AR71" s="3" t="s">
        <v>7</v>
      </c>
      <c r="AS71" s="4" t="s">
        <v>6</v>
      </c>
      <c r="AU71" s="1" t="s">
        <v>11</v>
      </c>
      <c r="AV71" s="1" t="s">
        <v>0</v>
      </c>
      <c r="AW71" s="1" t="s">
        <v>1</v>
      </c>
      <c r="AX71" s="1" t="s">
        <v>2</v>
      </c>
      <c r="AY71" s="1" t="s">
        <v>3</v>
      </c>
      <c r="AZ71" s="1" t="s">
        <v>4</v>
      </c>
      <c r="BA71" s="1" t="s">
        <v>5</v>
      </c>
      <c r="BB71" s="17" t="s">
        <v>21</v>
      </c>
      <c r="BC71" s="2" t="s">
        <v>6</v>
      </c>
      <c r="BD71" s="3" t="s">
        <v>7</v>
      </c>
      <c r="BE71" s="4" t="s">
        <v>6</v>
      </c>
      <c r="BG71" s="1" t="s">
        <v>11</v>
      </c>
      <c r="BH71" s="1" t="s">
        <v>0</v>
      </c>
      <c r="BI71" s="1" t="s">
        <v>1</v>
      </c>
      <c r="BJ71" s="1" t="s">
        <v>2</v>
      </c>
      <c r="BK71" s="1" t="s">
        <v>3</v>
      </c>
      <c r="BL71" s="1" t="s">
        <v>4</v>
      </c>
      <c r="BM71" s="1" t="s">
        <v>5</v>
      </c>
      <c r="BN71" s="17" t="s">
        <v>21</v>
      </c>
      <c r="BO71" s="2" t="s">
        <v>6</v>
      </c>
      <c r="BP71" s="3" t="s">
        <v>7</v>
      </c>
      <c r="BQ71" s="4" t="s">
        <v>6</v>
      </c>
    </row>
    <row r="72" spans="1:69" ht="15" customHeight="1">
      <c r="A72" s="72" t="s">
        <v>15</v>
      </c>
      <c r="B72" s="16">
        <v>46025</v>
      </c>
      <c r="C72" s="10">
        <v>709654</v>
      </c>
      <c r="D72" s="10">
        <v>710966</v>
      </c>
      <c r="E72" s="10">
        <f>Table26912142030405470829811261014[[#This Row],[KM Final]]-Table26912142030405470829811261014[[#This Row],[KM Inicial]]</f>
        <v>1312</v>
      </c>
      <c r="F72" s="10">
        <v>362.82</v>
      </c>
      <c r="G72" s="11">
        <f>Table26912142030405470829811261014[[#This Row],[KM Rodado]]/Table26912142030405470829811261014[[#This Row],[Consumo Lt]]</f>
        <v>3.6161181853260569</v>
      </c>
      <c r="H72" s="18">
        <v>23.3</v>
      </c>
      <c r="I72" s="12">
        <v>2049.64</v>
      </c>
      <c r="J72" t="s">
        <v>8</v>
      </c>
      <c r="K72" s="8">
        <v>504</v>
      </c>
      <c r="M72" s="9">
        <v>46055</v>
      </c>
      <c r="N72" s="10">
        <v>723032</v>
      </c>
      <c r="O72" s="5">
        <v>725126</v>
      </c>
      <c r="P72" s="10">
        <f>Table269121420304054708298112481216[[#This Row],[KM Final]]-Table269121420304054708298112481216[[#This Row],[KM Inicial]]</f>
        <v>2094</v>
      </c>
      <c r="Q72" s="33">
        <v>661.01099999999997</v>
      </c>
      <c r="R72" s="11">
        <f>Table269121420304054708298112481216[[#This Row],[KM Rodado]]/Table269121420304054708298112481216[[#This Row],[Consumo Lt]]</f>
        <v>3.1678746647181364</v>
      </c>
      <c r="S72" s="11">
        <v>54</v>
      </c>
      <c r="T72" s="13">
        <v>3770.56</v>
      </c>
      <c r="U72" t="s">
        <v>8</v>
      </c>
      <c r="V72" s="8">
        <v>504</v>
      </c>
      <c r="X72" s="72" t="s">
        <v>15</v>
      </c>
      <c r="Y72" s="9">
        <v>46083</v>
      </c>
      <c r="Z72" s="10">
        <v>734226</v>
      </c>
      <c r="AA72" s="5">
        <v>736598</v>
      </c>
      <c r="AB72" s="10">
        <f>Table26912142030405470829811248121640[[#This Row],[KM Final]]-Table26912142030405470829811248121640[[#This Row],[KM Inicial]]</f>
        <v>2372</v>
      </c>
      <c r="AC72" s="11"/>
      <c r="AD72" s="11"/>
      <c r="AE72" s="11"/>
      <c r="AF72" s="13"/>
      <c r="AG72" t="s">
        <v>8</v>
      </c>
      <c r="AH72" s="8">
        <v>504</v>
      </c>
      <c r="AJ72" s="9">
        <v>46114</v>
      </c>
      <c r="AK72" s="10">
        <v>748340</v>
      </c>
      <c r="AL72" s="5">
        <v>750298</v>
      </c>
      <c r="AM72" s="10">
        <f>Table2691214203040547082981124812164072[[#This Row],[KM Final]]-Table2691214203040547082981124812164072[[#This Row],[KM Inicial]]</f>
        <v>1958</v>
      </c>
      <c r="AN72" s="33">
        <v>673.1</v>
      </c>
      <c r="AO72" s="11">
        <f>Table2691214203040547082981124812164072[[#This Row],[KM Rodado]]/Table2691214203040547082981124812164072[[#This Row],[Consumo Lt]]</f>
        <v>2.9089288367255981</v>
      </c>
      <c r="AP72" s="11"/>
      <c r="AQ72" s="13">
        <v>4711.08</v>
      </c>
      <c r="AR72" t="s">
        <v>8</v>
      </c>
      <c r="AS72" s="8">
        <v>504</v>
      </c>
      <c r="AU72" s="72" t="s">
        <v>15</v>
      </c>
      <c r="AV72" s="9">
        <v>46143</v>
      </c>
      <c r="AW72" s="10">
        <v>763279</v>
      </c>
      <c r="AX72" s="5">
        <v>763700</v>
      </c>
      <c r="AY72" s="10">
        <f>Table2691214203040547082981124812164072136[[#This Row],[KM Final]]-Table2691214203040547082981124812164072136[[#This Row],[KM Inicial]]</f>
        <v>421</v>
      </c>
      <c r="AZ72" s="33">
        <v>561</v>
      </c>
      <c r="BA72" s="11">
        <f>Table2691214203040547082981124812164072136[[#This Row],[KM Rodado]]/Table2691214203040547082981124812164072136[[#This Row],[Consumo Lt]]</f>
        <v>0.75044563279857401</v>
      </c>
      <c r="BB72" s="11">
        <v>10.6</v>
      </c>
      <c r="BC72" s="13">
        <v>3791.92</v>
      </c>
      <c r="BD72" t="s">
        <v>8</v>
      </c>
      <c r="BE72" s="8">
        <v>504</v>
      </c>
      <c r="BG72" s="72" t="s">
        <v>15</v>
      </c>
      <c r="BH72" s="16">
        <v>46180</v>
      </c>
      <c r="BI72" s="10">
        <v>776062</v>
      </c>
      <c r="BJ72" s="10">
        <v>778346</v>
      </c>
      <c r="BK72" s="10">
        <f>Table2691214203040547082981126101460[[#This Row],[KM Final]]-Table2691214203040547082981126101460[[#This Row],[KM Inicial]]</f>
        <v>2284</v>
      </c>
      <c r="BL72" s="11">
        <v>690.20209999999997</v>
      </c>
      <c r="BM72" s="11">
        <f>Table2691214203040547082981126101460[[#This Row],[KM Rodado]]/Table2691214203040547082981126101460[[#This Row],[Consumo Lt]]</f>
        <v>3.3091756747769967</v>
      </c>
      <c r="BN72" s="11">
        <v>51.08</v>
      </c>
      <c r="BO72" s="12">
        <v>4314.3100000000004</v>
      </c>
      <c r="BP72" t="s">
        <v>8</v>
      </c>
      <c r="BQ72" s="8">
        <v>504</v>
      </c>
    </row>
    <row r="73" spans="1:69">
      <c r="A73" s="72"/>
      <c r="B73" s="16">
        <v>46027</v>
      </c>
      <c r="C73" s="10">
        <f t="shared" ref="C73:C81" si="16">D72</f>
        <v>710966</v>
      </c>
      <c r="D73" s="10">
        <v>712698</v>
      </c>
      <c r="E73" s="10">
        <f>Table26912142030405470829811261014[[#This Row],[KM Final]]-Table26912142030405470829811261014[[#This Row],[KM Inicial]]</f>
        <v>1732</v>
      </c>
      <c r="F73" s="10">
        <v>526</v>
      </c>
      <c r="G73" s="11">
        <f>Table26912142030405470829811261014[[#This Row],[KM Rodado]]/Table26912142030405470829811261014[[#This Row],[Consumo Lt]]</f>
        <v>3.2927756653992395</v>
      </c>
      <c r="H73" s="18">
        <v>36.51</v>
      </c>
      <c r="I73" s="12">
        <v>3005.38</v>
      </c>
      <c r="J73" t="s">
        <v>20</v>
      </c>
      <c r="K73" s="8">
        <v>300</v>
      </c>
      <c r="M73" s="16">
        <v>46060</v>
      </c>
      <c r="N73" s="10">
        <f t="shared" ref="N73:N79" si="17">O72</f>
        <v>725126</v>
      </c>
      <c r="O73" s="10">
        <v>727206</v>
      </c>
      <c r="P73" s="10">
        <f>Table269121420304054708298112481216[[#This Row],[KM Final]]-Table269121420304054708298112481216[[#This Row],[KM Inicial]]</f>
        <v>2080</v>
      </c>
      <c r="Q73" s="11">
        <v>593.5</v>
      </c>
      <c r="R73" s="11">
        <f>Table269121420304054708298112481216[[#This Row],[KM Rodado]]/Table269121420304054708298112481216[[#This Row],[Consumo Lt]]</f>
        <v>3.5046335299073292</v>
      </c>
      <c r="S73" s="11">
        <v>42.685000000000002</v>
      </c>
      <c r="T73" s="12">
        <v>3807.09</v>
      </c>
      <c r="U73" t="s">
        <v>20</v>
      </c>
      <c r="V73" s="8">
        <v>300</v>
      </c>
      <c r="X73" s="72"/>
      <c r="Y73" s="16">
        <v>46087</v>
      </c>
      <c r="Z73" s="10">
        <f t="shared" ref="Z73:Z81" si="18">AA72</f>
        <v>736598</v>
      </c>
      <c r="AA73" s="10">
        <v>738799</v>
      </c>
      <c r="AB73" s="10">
        <f>Table26912142030405470829811248121640[[#This Row],[KM Final]]-Table26912142030405470829811248121640[[#This Row],[KM Inicial]]</f>
        <v>2201</v>
      </c>
      <c r="AC73" s="11"/>
      <c r="AD73" s="11"/>
      <c r="AE73" s="11"/>
      <c r="AF73" s="12"/>
      <c r="AG73" t="s">
        <v>20</v>
      </c>
      <c r="AH73" s="8">
        <v>300</v>
      </c>
      <c r="AI73" s="56"/>
      <c r="AJ73" s="16">
        <v>46120</v>
      </c>
      <c r="AK73" s="10">
        <f t="shared" ref="AK73:AK81" si="19">AL72</f>
        <v>750298</v>
      </c>
      <c r="AL73" s="10">
        <v>752425</v>
      </c>
      <c r="AM73" s="10">
        <f>Table2691214203040547082981124812164072[[#This Row],[KM Final]]-Table2691214203040547082981124812164072[[#This Row],[KM Inicial]]</f>
        <v>2127</v>
      </c>
      <c r="AN73" s="11"/>
      <c r="AO73" s="11"/>
      <c r="AP73" s="11">
        <v>47.137999999999998</v>
      </c>
      <c r="AQ73" s="12">
        <v>122.08</v>
      </c>
      <c r="AR73" t="s">
        <v>20</v>
      </c>
      <c r="AS73" s="8">
        <v>300</v>
      </c>
      <c r="AU73" s="72"/>
      <c r="AV73" s="16">
        <v>46148</v>
      </c>
      <c r="AW73" s="10">
        <f t="shared" ref="AW73:AW78" si="20">AX72</f>
        <v>763700</v>
      </c>
      <c r="AX73" s="10">
        <v>766030</v>
      </c>
      <c r="AY73" s="10">
        <f>Table2691214203040547082981124812164072136[[#This Row],[KM Final]]-Table2691214203040547082981124812164072136[[#This Row],[KM Inicial]]</f>
        <v>2330</v>
      </c>
      <c r="AZ73" s="11">
        <v>760.721</v>
      </c>
      <c r="BA73" s="11">
        <f>Table2691214203040547082981124812164072136[[#This Row],[KM Rodado]]/Table2691214203040547082981124812164072136[[#This Row],[Consumo Lt]]</f>
        <v>3.062883764218419</v>
      </c>
      <c r="BB73" s="11">
        <v>52.924999999999997</v>
      </c>
      <c r="BC73" s="12">
        <v>4859.5</v>
      </c>
      <c r="BD73" t="s">
        <v>20</v>
      </c>
      <c r="BE73" s="8">
        <v>300</v>
      </c>
      <c r="BG73" s="72"/>
      <c r="BH73" s="16">
        <v>46181</v>
      </c>
      <c r="BI73" s="10">
        <f t="shared" ref="BI73:BI79" si="21">BJ72</f>
        <v>778346</v>
      </c>
      <c r="BJ73" s="10">
        <v>778627</v>
      </c>
      <c r="BK73" s="10"/>
      <c r="BL73" s="11"/>
      <c r="BM73" s="11"/>
      <c r="BN73" s="11">
        <v>17.54</v>
      </c>
      <c r="BO73" s="12">
        <v>1549.42</v>
      </c>
      <c r="BP73" t="s">
        <v>20</v>
      </c>
      <c r="BQ73" s="8">
        <v>300</v>
      </c>
    </row>
    <row r="74" spans="1:69">
      <c r="A74" s="72"/>
      <c r="B74" s="16">
        <v>46030</v>
      </c>
      <c r="C74" s="10">
        <f t="shared" si="16"/>
        <v>712698</v>
      </c>
      <c r="D74" s="10">
        <v>713915</v>
      </c>
      <c r="E74" s="10">
        <f>Table26912142030405470829811261014[[#This Row],[KM Final]]-Table26912142030405470829811261014[[#This Row],[KM Inicial]]</f>
        <v>1217</v>
      </c>
      <c r="F74" s="10">
        <v>350.22</v>
      </c>
      <c r="G74" s="11">
        <f>Table26912142030405470829811261014[[#This Row],[KM Rodado]]/Table26912142030405470829811261014[[#This Row],[Consumo Lt]]</f>
        <v>3.4749585974530293</v>
      </c>
      <c r="H74" s="18">
        <v>25.457999999999998</v>
      </c>
      <c r="I74" s="12">
        <v>1956.95</v>
      </c>
      <c r="J74" t="s">
        <v>23</v>
      </c>
      <c r="K74" s="8">
        <v>90</v>
      </c>
      <c r="M74" s="16">
        <v>46063</v>
      </c>
      <c r="N74" s="10">
        <f t="shared" si="17"/>
        <v>727206</v>
      </c>
      <c r="O74" s="10">
        <v>728935</v>
      </c>
      <c r="P74" s="10">
        <f>Table269121420304054708298112481216[[#This Row],[KM Final]]-Table269121420304054708298112481216[[#This Row],[KM Inicial]]</f>
        <v>1729</v>
      </c>
      <c r="Q74" s="11">
        <v>496.91</v>
      </c>
      <c r="R74" s="11">
        <f>Table269121420304054708298112481216[[#This Row],[KM Rodado]]/Table269121420304054708298112481216[[#This Row],[Consumo Lt]]</f>
        <v>3.479503330583003</v>
      </c>
      <c r="S74" s="11"/>
      <c r="T74" s="12">
        <v>3184.9</v>
      </c>
      <c r="U74" t="s">
        <v>52</v>
      </c>
      <c r="V74" s="8">
        <v>750</v>
      </c>
      <c r="X74" s="72"/>
      <c r="Y74" s="16">
        <v>46087</v>
      </c>
      <c r="Z74" s="10">
        <f t="shared" si="18"/>
        <v>738799</v>
      </c>
      <c r="AA74" s="10"/>
      <c r="AB74" s="10"/>
      <c r="AC74" s="11">
        <v>706.5</v>
      </c>
      <c r="AD74" s="11">
        <f>Table26912142030405470829811248121640[[#This Row],[KM Rodado]]/Table26912142030405470829811248121640[[#This Row],[Consumo Lt]]</f>
        <v>0</v>
      </c>
      <c r="AE74" s="11">
        <v>50.18</v>
      </c>
      <c r="AF74" s="12">
        <v>4202.6899999999996</v>
      </c>
      <c r="AG74" t="s">
        <v>74</v>
      </c>
      <c r="AH74" s="8">
        <v>50</v>
      </c>
      <c r="AJ74" s="16">
        <v>46120</v>
      </c>
      <c r="AK74" s="10">
        <f t="shared" si="19"/>
        <v>752425</v>
      </c>
      <c r="AL74" s="10">
        <v>752806</v>
      </c>
      <c r="AM74" s="10">
        <f>Table2691214203040547082981124812164072[[#This Row],[KM Final]]-Table2691214203040547082981124812164072[[#This Row],[KM Inicial]]</f>
        <v>381</v>
      </c>
      <c r="AN74" s="11">
        <v>710.37</v>
      </c>
      <c r="AO74" s="11">
        <f>Table2691214203040547082981124812164072[[#This Row],[KM Rodado]]/Table2691214203040547082981124812164072[[#This Row],[Consumo Lt]]</f>
        <v>0.53634021706997759</v>
      </c>
      <c r="AP74" s="11">
        <v>10</v>
      </c>
      <c r="AQ74" s="12">
        <v>5580.63</v>
      </c>
      <c r="AS74" s="8"/>
      <c r="AU74" s="72"/>
      <c r="AV74" s="16">
        <v>46155</v>
      </c>
      <c r="AW74" s="10">
        <f t="shared" si="20"/>
        <v>766030</v>
      </c>
      <c r="AX74" s="10">
        <v>768592</v>
      </c>
      <c r="AY74" s="10">
        <f>Table2691214203040547082981124812164072136[[#This Row],[KM Final]]-Table2691214203040547082981124812164072136[[#This Row],[KM Inicial]]</f>
        <v>2562</v>
      </c>
      <c r="AZ74" s="11">
        <v>200</v>
      </c>
      <c r="BA74" s="11">
        <f>Table2691214203040547082981124812164072136[[#This Row],[KM Rodado]]/Table2691214203040547082981124812164072136[[#This Row],[Consumo Lt]]</f>
        <v>12.81</v>
      </c>
      <c r="BB74" s="11">
        <v>53.649000000000001</v>
      </c>
      <c r="BC74" s="12">
        <v>1552.6</v>
      </c>
      <c r="BD74" t="s">
        <v>81</v>
      </c>
      <c r="BE74" s="8">
        <v>400</v>
      </c>
      <c r="BG74" s="72"/>
      <c r="BH74" s="16">
        <v>46184</v>
      </c>
      <c r="BI74" s="10">
        <f t="shared" si="21"/>
        <v>778627</v>
      </c>
      <c r="BJ74" s="10">
        <v>781146</v>
      </c>
      <c r="BK74" s="10">
        <v>2800</v>
      </c>
      <c r="BL74" s="11">
        <v>854.91</v>
      </c>
      <c r="BM74" s="11">
        <f>Table2691214203040547082981126101460[[#This Row],[KM Rodado]]/Table2691214203040547082981126101460[[#This Row],[Consumo Lt]]</f>
        <v>3.275198558912634</v>
      </c>
      <c r="BN74" s="11">
        <v>40.21</v>
      </c>
      <c r="BO74" s="12">
        <v>3375.08</v>
      </c>
      <c r="BP74" t="s">
        <v>114</v>
      </c>
      <c r="BQ74" s="8">
        <v>3120</v>
      </c>
    </row>
    <row r="75" spans="1:69">
      <c r="A75" s="72"/>
      <c r="B75" s="16">
        <v>46035</v>
      </c>
      <c r="C75" s="10">
        <f t="shared" si="16"/>
        <v>713915</v>
      </c>
      <c r="D75" s="10">
        <v>715843</v>
      </c>
      <c r="E75" s="10">
        <f>Table26912142030405470829811261014[[#This Row],[KM Final]]-Table26912142030405470829811261014[[#This Row],[KM Inicial]]</f>
        <v>1928</v>
      </c>
      <c r="F75" s="10">
        <v>583</v>
      </c>
      <c r="G75" s="11">
        <f>Table26912142030405470829811261014[[#This Row],[KM Rodado]]/Table26912142030405470829811261014[[#This Row],[Consumo Lt]]</f>
        <v>3.3070325900514579</v>
      </c>
      <c r="H75" s="18">
        <v>39.271000000000001</v>
      </c>
      <c r="I75" s="12">
        <v>3374.76</v>
      </c>
      <c r="K75" s="14"/>
      <c r="M75" s="16">
        <v>46065</v>
      </c>
      <c r="N75" s="10">
        <f t="shared" si="17"/>
        <v>728935</v>
      </c>
      <c r="O75" s="10">
        <v>729605</v>
      </c>
      <c r="P75" s="10">
        <f>Table269121420304054708298112481216[[#This Row],[KM Final]]-Table269121420304054708298112481216[[#This Row],[KM Inicial]]</f>
        <v>670</v>
      </c>
      <c r="Q75" s="11">
        <v>163.94200000000001</v>
      </c>
      <c r="R75" s="11">
        <f>Table269121420304054708298112481216[[#This Row],[KM Rodado]]/Table269121420304054708298112481216[[#This Row],[Consumo Lt]]</f>
        <v>4.0868111893230532</v>
      </c>
      <c r="S75" s="11">
        <v>12.7</v>
      </c>
      <c r="T75" s="12">
        <v>918.83</v>
      </c>
      <c r="U75" t="s">
        <v>53</v>
      </c>
      <c r="V75" s="14">
        <v>120</v>
      </c>
      <c r="X75" s="72"/>
      <c r="Y75" s="16">
        <v>46091</v>
      </c>
      <c r="Z75" s="10">
        <f t="shared" si="18"/>
        <v>0</v>
      </c>
      <c r="AA75" s="10">
        <v>740552</v>
      </c>
      <c r="AB75" s="10"/>
      <c r="AC75" s="11">
        <v>516</v>
      </c>
      <c r="AD75" s="11">
        <f>Table26912142030405470829811248121640[[#This Row],[KM Rodado]]/Table26912142030405470829811248121640[[#This Row],[Consumo Lt]]</f>
        <v>0</v>
      </c>
      <c r="AE75" s="11">
        <v>38.863999999999997</v>
      </c>
      <c r="AF75" s="12">
        <v>3317.95</v>
      </c>
      <c r="AG75" t="s">
        <v>23</v>
      </c>
      <c r="AH75" s="14">
        <v>30</v>
      </c>
      <c r="AJ75" s="16">
        <v>46126</v>
      </c>
      <c r="AK75" s="10">
        <f t="shared" si="19"/>
        <v>752806</v>
      </c>
      <c r="AL75" s="10">
        <v>755238</v>
      </c>
      <c r="AM75" s="10">
        <f>Table2691214203040547082981124812164072[[#This Row],[KM Final]]-Table2691214203040547082981124812164072[[#This Row],[KM Inicial]]</f>
        <v>2432</v>
      </c>
      <c r="AN75" s="11">
        <v>801</v>
      </c>
      <c r="AO75" s="11">
        <f>Table2691214203040547082981124812164072[[#This Row],[KM Rodado]]/Table2691214203040547082981124812164072[[#This Row],[Consumo Lt]]</f>
        <v>3.0362047440699125</v>
      </c>
      <c r="AP75" s="11">
        <v>44.58</v>
      </c>
      <c r="AQ75" s="12">
        <v>5727.36</v>
      </c>
      <c r="AS75" s="14"/>
      <c r="AU75" s="72"/>
      <c r="AV75" s="16">
        <v>46155</v>
      </c>
      <c r="AW75" s="10">
        <f t="shared" si="20"/>
        <v>768592</v>
      </c>
      <c r="AX75" s="10">
        <v>768820</v>
      </c>
      <c r="AY75" s="10">
        <f>Table2691214203040547082981124812164072136[[#This Row],[KM Final]]-Table2691214203040547082981124812164072136[[#This Row],[KM Inicial]]</f>
        <v>228</v>
      </c>
      <c r="AZ75" s="11">
        <v>654.77499999999998</v>
      </c>
      <c r="BA75" s="11">
        <f>Table2691214203040547082981124812164072136[[#This Row],[KM Rodado]]/Table2691214203040547082981124812164072136[[#This Row],[Consumo Lt]]</f>
        <v>0.34821121759382995</v>
      </c>
      <c r="BB75" s="11"/>
      <c r="BC75" s="12">
        <v>4039.96</v>
      </c>
      <c r="BD75" t="s">
        <v>104</v>
      </c>
      <c r="BE75" s="14">
        <v>30</v>
      </c>
      <c r="BG75" s="72"/>
      <c r="BH75" s="16">
        <v>46190</v>
      </c>
      <c r="BI75" s="10">
        <f t="shared" si="21"/>
        <v>781146</v>
      </c>
      <c r="BJ75" s="10">
        <v>782836</v>
      </c>
      <c r="BK75" s="10">
        <f>Table2691214203040547082981126101460[[#This Row],[KM Final]]-Table2691214203040547082981126101460[[#This Row],[KM Inicial]]</f>
        <v>1690</v>
      </c>
      <c r="BL75" s="11">
        <v>563.86</v>
      </c>
      <c r="BM75" s="11">
        <f>Table2691214203040547082981126101460[[#This Row],[KM Rodado]]/Table2691214203040547082981126101460[[#This Row],[Consumo Lt]]</f>
        <v>2.997197886000071</v>
      </c>
      <c r="BN75" s="11">
        <v>40.200000000000003</v>
      </c>
      <c r="BO75" s="12">
        <v>3350.2</v>
      </c>
      <c r="BP75" t="s">
        <v>115</v>
      </c>
      <c r="BQ75" s="14">
        <v>367</v>
      </c>
    </row>
    <row r="76" spans="1:69">
      <c r="A76" s="72"/>
      <c r="B76" s="16">
        <v>46039</v>
      </c>
      <c r="C76" s="10">
        <f t="shared" si="16"/>
        <v>715843</v>
      </c>
      <c r="D76" s="10">
        <v>717566</v>
      </c>
      <c r="E76" s="10"/>
      <c r="F76" s="10"/>
      <c r="G76" s="11"/>
      <c r="H76" s="18">
        <v>35.273000000000003</v>
      </c>
      <c r="I76" s="12">
        <v>91.95</v>
      </c>
      <c r="K76" s="8"/>
      <c r="M76" s="9">
        <v>46069</v>
      </c>
      <c r="N76" s="39">
        <f t="shared" si="17"/>
        <v>729605</v>
      </c>
      <c r="O76" s="5">
        <v>731149</v>
      </c>
      <c r="P76" s="10">
        <f>Table269121420304054708298112481216[[#This Row],[KM Final]]-Table269121420304054708298112481216[[#This Row],[KM Inicial]]</f>
        <v>1544</v>
      </c>
      <c r="Q76" s="33">
        <v>485</v>
      </c>
      <c r="R76" s="11">
        <f>Table269121420304054708298112481216[[#This Row],[KM Rodado]]/Table269121420304054708298112481216[[#This Row],[Consumo Lt]]</f>
        <v>3.183505154639175</v>
      </c>
      <c r="S76" s="11">
        <v>34.68</v>
      </c>
      <c r="T76" s="13">
        <v>2773.95</v>
      </c>
      <c r="V76" s="8"/>
      <c r="X76" s="72"/>
      <c r="Y76" s="9">
        <v>46092</v>
      </c>
      <c r="Z76" s="39">
        <f t="shared" si="18"/>
        <v>740552</v>
      </c>
      <c r="AA76" s="5"/>
      <c r="AB76" s="10"/>
      <c r="AC76" s="11">
        <v>188.4</v>
      </c>
      <c r="AD76" s="11">
        <f>Table26912142030405470829811248121640[[#This Row],[KM Rodado]]/Table26912142030405470829811248121640[[#This Row],[Consumo Lt]]</f>
        <v>0</v>
      </c>
      <c r="AE76" s="11">
        <v>13.7</v>
      </c>
      <c r="AF76" s="13">
        <v>1283.9000000000001</v>
      </c>
      <c r="AH76" s="8"/>
      <c r="AJ76" s="9">
        <v>46130</v>
      </c>
      <c r="AK76" s="39">
        <f t="shared" si="19"/>
        <v>755238</v>
      </c>
      <c r="AL76" s="5">
        <v>757299</v>
      </c>
      <c r="AM76" s="10">
        <f>Table2691214203040547082981124812164072[[#This Row],[KM Final]]-Table2691214203040547082981124812164072[[#This Row],[KM Inicial]]</f>
        <v>2061</v>
      </c>
      <c r="AN76" s="33">
        <v>100</v>
      </c>
      <c r="AO76" s="11">
        <f>Table2691214203040547082981124812164072[[#This Row],[KM Rodado]]/Table2691214203040547082981124812164072[[#This Row],[Consumo Lt]]</f>
        <v>20.61</v>
      </c>
      <c r="AP76" s="11">
        <v>30</v>
      </c>
      <c r="AQ76" s="13">
        <v>768.7</v>
      </c>
      <c r="AS76" s="8"/>
      <c r="AU76" s="72"/>
      <c r="AV76" s="9">
        <v>46167</v>
      </c>
      <c r="AW76" s="39">
        <f t="shared" si="20"/>
        <v>768820</v>
      </c>
      <c r="AX76" s="5">
        <v>771478</v>
      </c>
      <c r="AY76" s="10">
        <f>Table2691214203040547082981124812164072136[[#This Row],[KM Final]]-Table2691214203040547082981124812164072136[[#This Row],[KM Inicial]]</f>
        <v>2658</v>
      </c>
      <c r="AZ76" s="33">
        <v>300</v>
      </c>
      <c r="BA76" s="11">
        <f>Table2691214203040547082981124812164072136[[#This Row],[KM Rodado]]/Table2691214203040547082981124812164072136[[#This Row],[Consumo Lt]]</f>
        <v>8.86</v>
      </c>
      <c r="BB76" s="11">
        <v>33</v>
      </c>
      <c r="BC76" s="13">
        <v>2156.34</v>
      </c>
      <c r="BE76" s="8"/>
      <c r="BG76" s="72"/>
      <c r="BH76" s="16">
        <v>46192</v>
      </c>
      <c r="BI76" s="10">
        <f t="shared" si="21"/>
        <v>782836</v>
      </c>
      <c r="BJ76" s="10"/>
      <c r="BK76" s="10"/>
      <c r="BL76" s="11">
        <v>470</v>
      </c>
      <c r="BM76" s="11"/>
      <c r="BN76" s="11">
        <v>36.707999999999998</v>
      </c>
      <c r="BO76" s="12">
        <v>3215.66</v>
      </c>
      <c r="BP76" t="s">
        <v>116</v>
      </c>
      <c r="BQ76" s="8">
        <v>160</v>
      </c>
    </row>
    <row r="77" spans="1:69">
      <c r="A77" s="72"/>
      <c r="B77" s="16">
        <v>46041</v>
      </c>
      <c r="C77" s="10">
        <f t="shared" si="16"/>
        <v>717566</v>
      </c>
      <c r="D77" s="10">
        <v>718429</v>
      </c>
      <c r="E77" s="10">
        <v>2586</v>
      </c>
      <c r="F77" s="10">
        <v>746.3</v>
      </c>
      <c r="G77" s="11">
        <f>Table26912142030405470829811261014[[#This Row],[KM Rodado]]/Table26912142030405470829811261014[[#This Row],[Consumo Lt]]</f>
        <v>3.465094466032427</v>
      </c>
      <c r="H77" s="18">
        <v>16.216000000000001</v>
      </c>
      <c r="I77" s="12">
        <v>4234.57</v>
      </c>
      <c r="K77" s="8"/>
      <c r="M77" s="16">
        <v>46071</v>
      </c>
      <c r="N77" s="10">
        <f t="shared" si="17"/>
        <v>731149</v>
      </c>
      <c r="O77" s="10">
        <v>732704</v>
      </c>
      <c r="P77" s="10">
        <f>Table269121420304054708298112481216[[#This Row],[KM Final]]-Table269121420304054708298112481216[[#This Row],[KM Inicial]]</f>
        <v>1555</v>
      </c>
      <c r="Q77" s="11">
        <v>470</v>
      </c>
      <c r="R77" s="11">
        <f>Table269121420304054708298112481216[[#This Row],[KM Rodado]]/Table269121420304054708298112481216[[#This Row],[Consumo Lt]]</f>
        <v>3.3085106382978724</v>
      </c>
      <c r="S77" s="11">
        <v>32.93</v>
      </c>
      <c r="T77" s="12">
        <v>2681.62</v>
      </c>
      <c r="V77" s="8"/>
      <c r="X77" s="72"/>
      <c r="Y77" s="16">
        <v>46096</v>
      </c>
      <c r="Z77" s="10">
        <f t="shared" si="18"/>
        <v>0</v>
      </c>
      <c r="AA77" s="10">
        <v>742986</v>
      </c>
      <c r="AB77" s="10"/>
      <c r="AC77" s="11">
        <v>597.16999999999996</v>
      </c>
      <c r="AD77" s="11">
        <f>Table26912142030405470829811248121640[[#This Row],[KM Rodado]]/Table26912142030405470829811248121640[[#This Row],[Consumo Lt]]</f>
        <v>0</v>
      </c>
      <c r="AE77" s="11">
        <v>40.119999999999997</v>
      </c>
      <c r="AF77" s="12">
        <v>3945.46</v>
      </c>
      <c r="AH77" s="8"/>
      <c r="AJ77" s="16">
        <v>46135</v>
      </c>
      <c r="AK77" s="10">
        <f t="shared" si="19"/>
        <v>757299</v>
      </c>
      <c r="AL77" s="10">
        <v>758869</v>
      </c>
      <c r="AM77" s="10">
        <f>Table2691214203040547082981124812164072[[#This Row],[KM Final]]-Table2691214203040547082981124812164072[[#This Row],[KM Inicial]]</f>
        <v>1570</v>
      </c>
      <c r="AN77" s="11">
        <v>439.541</v>
      </c>
      <c r="AO77" s="11">
        <f>Table2691214203040547082981124812164072[[#This Row],[KM Rodado]]/Table2691214203040547082981124812164072[[#This Row],[Consumo Lt]]</f>
        <v>3.5719079676298686</v>
      </c>
      <c r="AP77" s="11">
        <v>51.893999999999998</v>
      </c>
      <c r="AQ77" s="12">
        <v>3069.38</v>
      </c>
      <c r="AS77" s="8"/>
      <c r="AU77" s="72"/>
      <c r="AV77" s="16">
        <v>46169</v>
      </c>
      <c r="AW77" s="10">
        <f t="shared" si="20"/>
        <v>771478</v>
      </c>
      <c r="AX77" s="10">
        <v>772419</v>
      </c>
      <c r="AY77" s="10">
        <f>Table2691214203040547082981124812164072136[[#This Row],[KM Final]]-Table2691214203040547082981124812164072136[[#This Row],[KM Inicial]]</f>
        <v>941</v>
      </c>
      <c r="AZ77" s="11">
        <v>789.995</v>
      </c>
      <c r="BA77" s="11">
        <f>Table2691214203040547082981124812164072136[[#This Row],[KM Rodado]]/Table2691214203040547082981124812164072136[[#This Row],[Consumo Lt]]</f>
        <v>1.1911467794099964</v>
      </c>
      <c r="BB77" s="11">
        <v>23.202999999999999</v>
      </c>
      <c r="BC77" s="12">
        <v>5314.93</v>
      </c>
      <c r="BE77" s="8"/>
      <c r="BG77" s="72"/>
      <c r="BH77" s="16">
        <v>46196</v>
      </c>
      <c r="BI77" s="10">
        <f t="shared" si="21"/>
        <v>0</v>
      </c>
      <c r="BJ77" s="10">
        <v>785780</v>
      </c>
      <c r="BK77" s="10"/>
      <c r="BL77" s="11">
        <v>521</v>
      </c>
      <c r="BM77" s="11"/>
      <c r="BN77" s="11">
        <v>37.661000000000001</v>
      </c>
      <c r="BO77" s="12">
        <v>3550.89</v>
      </c>
      <c r="BP77" t="s">
        <v>117</v>
      </c>
      <c r="BQ77" s="8">
        <v>150</v>
      </c>
    </row>
    <row r="78" spans="1:69">
      <c r="A78" s="72"/>
      <c r="B78" s="9">
        <v>46044</v>
      </c>
      <c r="C78" s="10">
        <f t="shared" si="16"/>
        <v>718429</v>
      </c>
      <c r="D78" s="5">
        <v>720725</v>
      </c>
      <c r="E78" s="10">
        <f>Table26912142030405470829811261014[[#This Row],[KM Final]]-Table26912142030405470829811261014[[#This Row],[KM Inicial]]</f>
        <v>2296</v>
      </c>
      <c r="F78" s="5">
        <v>670</v>
      </c>
      <c r="G78" s="11">
        <f>Table26912142030405470829811261014[[#This Row],[KM Rodado]]/Table26912142030405470829811261014[[#This Row],[Consumo Lt]]</f>
        <v>3.4268656716417909</v>
      </c>
      <c r="H78" s="11">
        <v>48.2</v>
      </c>
      <c r="I78" s="13">
        <v>3879.27</v>
      </c>
      <c r="K78" s="8"/>
      <c r="M78" s="16">
        <v>46074</v>
      </c>
      <c r="N78" s="10">
        <f t="shared" si="17"/>
        <v>732704</v>
      </c>
      <c r="O78" s="10">
        <v>734226</v>
      </c>
      <c r="P78" s="10">
        <f>Table269121420304054708298112481216[[#This Row],[KM Final]]-Table269121420304054708298112481216[[#This Row],[KM Inicial]]</f>
        <v>1522</v>
      </c>
      <c r="Q78" s="11">
        <v>478.858</v>
      </c>
      <c r="R78" s="11">
        <f>Table269121420304054708298112481216[[#This Row],[KM Rodado]]/Table269121420304054708298112481216[[#This Row],[Consumo Lt]]</f>
        <v>3.1783952654022696</v>
      </c>
      <c r="S78" s="11">
        <v>30.853999999999999</v>
      </c>
      <c r="T78" s="12">
        <v>2737.56</v>
      </c>
      <c r="V78" s="8"/>
      <c r="X78" s="72"/>
      <c r="Y78" s="16">
        <v>46100</v>
      </c>
      <c r="Z78" s="10">
        <f t="shared" si="18"/>
        <v>742986</v>
      </c>
      <c r="AA78" s="10">
        <v>745162</v>
      </c>
      <c r="AB78" s="10"/>
      <c r="AC78" s="11"/>
      <c r="AD78" s="11"/>
      <c r="AE78" s="11"/>
      <c r="AF78" s="12"/>
      <c r="AH78" s="8"/>
      <c r="AJ78" s="16">
        <v>46138</v>
      </c>
      <c r="AK78" s="10">
        <f t="shared" si="19"/>
        <v>758869</v>
      </c>
      <c r="AL78" s="10">
        <v>760860</v>
      </c>
      <c r="AM78" s="10">
        <f>Table2691214203040547082981124812164072[[#This Row],[KM Final]]-Table2691214203040547082981124812164072[[#This Row],[KM Inicial]]</f>
        <v>1991</v>
      </c>
      <c r="AN78" s="11">
        <v>152.91</v>
      </c>
      <c r="AO78" s="11">
        <f>Table2691214203040547082981124812164072[[#This Row],[KM Rodado]]/Table2691214203040547082981124812164072[[#This Row],[Consumo Lt]]</f>
        <v>13.02073114904192</v>
      </c>
      <c r="AP78" s="11">
        <v>45</v>
      </c>
      <c r="AQ78" s="12">
        <v>1125.58</v>
      </c>
      <c r="AS78" s="8"/>
      <c r="AU78" s="72"/>
      <c r="AV78" s="16">
        <v>46173</v>
      </c>
      <c r="AW78" s="10">
        <f t="shared" si="20"/>
        <v>772419</v>
      </c>
      <c r="AX78" s="10">
        <v>776062</v>
      </c>
      <c r="AY78" s="10">
        <f>Table2691214203040547082981124812164072136[[#This Row],[KM Final]]-Table2691214203040547082981124812164072136[[#This Row],[KM Inicial]]</f>
        <v>3643</v>
      </c>
      <c r="AZ78" s="11">
        <v>684</v>
      </c>
      <c r="BA78" s="11">
        <f>Table2691214203040547082981124812164072136[[#This Row],[KM Rodado]]/Table2691214203040547082981124812164072136[[#This Row],[Consumo Lt]]</f>
        <v>5.3260233918128659</v>
      </c>
      <c r="BB78" s="11">
        <v>51</v>
      </c>
      <c r="BC78" s="12">
        <v>4584.45</v>
      </c>
      <c r="BE78" s="8"/>
      <c r="BG78" s="72"/>
      <c r="BH78" s="9">
        <v>46203</v>
      </c>
      <c r="BI78" s="10">
        <f t="shared" si="21"/>
        <v>785780</v>
      </c>
      <c r="BJ78" s="5">
        <v>787737</v>
      </c>
      <c r="BK78" s="10">
        <f>Table2691214203040547082981126101460[[#This Row],[KM Final]]-Table2691214203040547082981126101460[[#This Row],[KM Inicial]]</f>
        <v>1957</v>
      </c>
      <c r="BL78" s="33">
        <v>654</v>
      </c>
      <c r="BM78" s="11">
        <f>Table2691214203040547082981126101460[[#This Row],[KM Rodado]]/Table2691214203040547082981126101460[[#This Row],[Consumo Lt]]</f>
        <v>2.9923547400611619</v>
      </c>
      <c r="BN78" s="11">
        <v>45.021999999999998</v>
      </c>
      <c r="BO78" s="13">
        <v>4111.66</v>
      </c>
      <c r="BP78" t="s">
        <v>118</v>
      </c>
      <c r="BQ78" s="8">
        <v>1000</v>
      </c>
    </row>
    <row r="79" spans="1:69">
      <c r="A79" s="72"/>
      <c r="B79" s="9">
        <v>46046</v>
      </c>
      <c r="C79" s="10">
        <f t="shared" si="16"/>
        <v>720725</v>
      </c>
      <c r="D79" s="5">
        <v>722054</v>
      </c>
      <c r="E79" s="10">
        <f>Table26912142030405470829811261014[[#This Row],[KM Final]]-Table26912142030405470829811261014[[#This Row],[KM Inicial]]</f>
        <v>1329</v>
      </c>
      <c r="F79" s="5">
        <v>395</v>
      </c>
      <c r="G79" s="11">
        <f>Table26912142030405470829811261014[[#This Row],[KM Rodado]]/Table26912142030405470829811261014[[#This Row],[Consumo Lt]]</f>
        <v>3.3645569620253166</v>
      </c>
      <c r="H79" s="11">
        <v>30.364999999999998</v>
      </c>
      <c r="I79" s="13">
        <v>2213.1799999999998</v>
      </c>
      <c r="K79" s="8"/>
      <c r="M79" s="9"/>
      <c r="N79" s="19">
        <f t="shared" si="17"/>
        <v>734226</v>
      </c>
      <c r="O79" s="5"/>
      <c r="P79" s="10"/>
      <c r="Q79" s="33"/>
      <c r="R79" s="11"/>
      <c r="S79" s="11"/>
      <c r="T79" s="13"/>
      <c r="V79" s="8"/>
      <c r="X79" s="72"/>
      <c r="Y79" s="9">
        <v>46100</v>
      </c>
      <c r="Z79" s="10">
        <f t="shared" si="18"/>
        <v>745162</v>
      </c>
      <c r="AA79" s="5">
        <v>745453</v>
      </c>
      <c r="AB79" s="10">
        <v>2467</v>
      </c>
      <c r="AC79" s="11">
        <v>730.21</v>
      </c>
      <c r="AD79" s="11">
        <f>Table26912142030405470829811248121640[[#This Row],[KM Rodado]]/Table26912142030405470829811248121640[[#This Row],[Consumo Lt]]</f>
        <v>3.3784801632407113</v>
      </c>
      <c r="AE79" s="11">
        <v>17.940000000000001</v>
      </c>
      <c r="AF79" s="13">
        <v>4772.99</v>
      </c>
      <c r="AH79" s="8"/>
      <c r="AJ79" s="9">
        <v>46138</v>
      </c>
      <c r="AK79" s="10">
        <f t="shared" si="19"/>
        <v>760860</v>
      </c>
      <c r="AL79" s="5">
        <v>761489</v>
      </c>
      <c r="AM79" s="10">
        <f>Table2691214203040547082981124812164072[[#This Row],[KM Final]]-Table2691214203040547082981124812164072[[#This Row],[KM Inicial]]</f>
        <v>629</v>
      </c>
      <c r="AN79" s="33">
        <v>748.803</v>
      </c>
      <c r="AO79" s="11">
        <f>Table2691214203040547082981124812164072[[#This Row],[KM Rodado]]/Table2691214203040547082981124812164072[[#This Row],[Consumo Lt]]</f>
        <v>0.84000731834674813</v>
      </c>
      <c r="AP79" s="11">
        <v>19.408999999999999</v>
      </c>
      <c r="AQ79" s="13">
        <v>4693.12</v>
      </c>
      <c r="AS79" s="8"/>
      <c r="AU79" s="72"/>
      <c r="AV79" s="9"/>
      <c r="AW79" s="19">
        <v>776062</v>
      </c>
      <c r="AX79" s="5"/>
      <c r="AY79" s="10"/>
      <c r="AZ79" s="33"/>
      <c r="BA79" s="11"/>
      <c r="BB79" s="11"/>
      <c r="BC79" s="13"/>
      <c r="BE79" s="8"/>
      <c r="BG79" s="72"/>
      <c r="BH79" s="9"/>
      <c r="BI79" s="19">
        <f t="shared" si="21"/>
        <v>787737</v>
      </c>
      <c r="BJ79" s="5"/>
      <c r="BK79" s="10"/>
      <c r="BL79" s="33"/>
      <c r="BM79" s="11"/>
      <c r="BN79" s="11"/>
      <c r="BO79" s="13"/>
      <c r="BP79" t="s">
        <v>119</v>
      </c>
      <c r="BQ79" s="8">
        <v>550</v>
      </c>
    </row>
    <row r="80" spans="1:69">
      <c r="A80" s="72"/>
      <c r="B80" s="9">
        <v>46048</v>
      </c>
      <c r="C80" s="10">
        <f t="shared" si="16"/>
        <v>722054</v>
      </c>
      <c r="D80" s="5">
        <v>723032</v>
      </c>
      <c r="E80" s="10">
        <f>Table26912142030405470829811261014[[#This Row],[KM Final]]-Table26912142030405470829811261014[[#This Row],[KM Inicial]]</f>
        <v>978</v>
      </c>
      <c r="F80" s="5">
        <v>280</v>
      </c>
      <c r="G80" s="11">
        <f>Table26912142030405470829811261014[[#This Row],[KM Rodado]]/Table26912142030405470829811261014[[#This Row],[Consumo Lt]]</f>
        <v>3.4928571428571429</v>
      </c>
      <c r="H80" s="11">
        <v>21.39</v>
      </c>
      <c r="I80" s="13">
        <v>1605.28</v>
      </c>
      <c r="K80" s="8"/>
      <c r="M80" s="5"/>
      <c r="N80" s="15"/>
      <c r="O80" s="5"/>
      <c r="P80" s="10"/>
      <c r="Q80" s="33"/>
      <c r="R80" s="11"/>
      <c r="S80" s="11"/>
      <c r="T80" s="13"/>
      <c r="V80" s="8"/>
      <c r="X80" s="72"/>
      <c r="Y80" s="9">
        <v>46102</v>
      </c>
      <c r="Z80" s="39">
        <f t="shared" si="18"/>
        <v>745453</v>
      </c>
      <c r="AA80" s="5">
        <v>746173</v>
      </c>
      <c r="AB80" s="10">
        <f>Table26912142030405470829811248121640[[#This Row],[KM Final]]-Table26912142030405470829811248121640[[#This Row],[KM Inicial]]</f>
        <v>720</v>
      </c>
      <c r="AC80" s="11">
        <v>227.434</v>
      </c>
      <c r="AD80" s="11">
        <f>Table26912142030405470829811248121640[[#This Row],[KM Rodado]]/Table26912142030405470829811248121640[[#This Row],[Consumo Lt]]</f>
        <v>3.165753581258739</v>
      </c>
      <c r="AE80" s="11">
        <v>48.256</v>
      </c>
      <c r="AF80" s="13">
        <v>1753.59</v>
      </c>
      <c r="AH80" s="8"/>
      <c r="AJ80" s="9">
        <v>46142</v>
      </c>
      <c r="AK80" s="39">
        <f t="shared" si="19"/>
        <v>761489</v>
      </c>
      <c r="AL80" s="5">
        <v>763279</v>
      </c>
      <c r="AM80" s="10">
        <f>Table2691214203040547082981124812164072[[#This Row],[KM Final]]-Table2691214203040547082981124812164072[[#This Row],[KM Inicial]]</f>
        <v>1790</v>
      </c>
      <c r="AN80" s="33">
        <v>150.26499999999999</v>
      </c>
      <c r="AO80" s="11">
        <f>Table2691214203040547082981124812164072[[#This Row],[KM Rodado]]/Table2691214203040547082981124812164072[[#This Row],[Consumo Lt]]</f>
        <v>11.912288290686455</v>
      </c>
      <c r="AP80" s="11">
        <v>39.709000000000003</v>
      </c>
      <c r="AQ80" s="13">
        <v>1158.43</v>
      </c>
      <c r="AS80" s="8"/>
      <c r="AU80" s="72"/>
      <c r="AV80" s="9"/>
      <c r="AW80" s="39"/>
      <c r="AX80" s="5"/>
      <c r="AY80" s="10"/>
      <c r="AZ80" s="33"/>
      <c r="BA80" s="11"/>
      <c r="BB80" s="11"/>
      <c r="BC80" s="13"/>
      <c r="BE80" s="8"/>
      <c r="BG80" s="72"/>
      <c r="BH80" s="9"/>
      <c r="BI80" s="10"/>
      <c r="BJ80" s="5"/>
      <c r="BK80" s="10"/>
      <c r="BL80" s="33"/>
      <c r="BM80" s="11"/>
      <c r="BN80" s="11"/>
      <c r="BO80" s="13"/>
      <c r="BP80" t="s">
        <v>62</v>
      </c>
      <c r="BQ80" s="8">
        <v>1000</v>
      </c>
    </row>
    <row r="81" spans="1:69">
      <c r="A81" s="72"/>
      <c r="B81" s="9"/>
      <c r="C81" s="10">
        <f t="shared" si="16"/>
        <v>723032</v>
      </c>
      <c r="D81" s="5"/>
      <c r="E81" s="10"/>
      <c r="F81" s="5"/>
      <c r="G81" s="11"/>
      <c r="H81" s="11"/>
      <c r="I81" s="13"/>
      <c r="K81" s="8"/>
      <c r="M81" s="9"/>
      <c r="N81" s="5"/>
      <c r="O81" s="5"/>
      <c r="P81" s="10"/>
      <c r="Q81" s="33"/>
      <c r="R81" s="11"/>
      <c r="S81" s="11"/>
      <c r="T81" s="13"/>
      <c r="V81" s="8"/>
      <c r="X81" s="72"/>
      <c r="Y81" s="9">
        <v>46107</v>
      </c>
      <c r="Z81" s="39">
        <f t="shared" si="18"/>
        <v>746173</v>
      </c>
      <c r="AA81" s="5">
        <v>748340</v>
      </c>
      <c r="AB81" s="10">
        <f>Table26912142030405470829811248121640[[#This Row],[KM Final]]-Table26912142030405470829811248121640[[#This Row],[KM Inicial]]</f>
        <v>2167</v>
      </c>
      <c r="AC81" s="33">
        <v>640.1</v>
      </c>
      <c r="AD81" s="11">
        <f>Table26912142030405470829811248121640[[#This Row],[KM Rodado]]/Table26912142030405470829811248121640[[#This Row],[Consumo Lt]]</f>
        <v>3.3854085299172003</v>
      </c>
      <c r="AE81" s="11">
        <v>47.680999999999997</v>
      </c>
      <c r="AF81" s="13">
        <v>4370.5</v>
      </c>
      <c r="AH81" s="8"/>
      <c r="AJ81" s="9"/>
      <c r="AK81" s="15">
        <f t="shared" si="19"/>
        <v>763279</v>
      </c>
      <c r="AL81" s="5"/>
      <c r="AM81" s="10"/>
      <c r="AN81" s="33"/>
      <c r="AO81" s="11"/>
      <c r="AP81" s="11"/>
      <c r="AQ81" s="13"/>
      <c r="AS81" s="8"/>
      <c r="AU81" s="72"/>
      <c r="AV81" s="9"/>
      <c r="AW81" s="15"/>
      <c r="AX81" s="5"/>
      <c r="AY81" s="10"/>
      <c r="AZ81" s="33"/>
      <c r="BA81" s="11"/>
      <c r="BB81" s="11"/>
      <c r="BC81" s="13"/>
      <c r="BE81" s="8"/>
      <c r="BG81" s="72"/>
      <c r="BH81" s="9"/>
      <c r="BI81" s="10"/>
      <c r="BJ81" s="5"/>
      <c r="BK81" s="10"/>
      <c r="BL81" s="33"/>
      <c r="BM81" s="11"/>
      <c r="BN81" s="11"/>
      <c r="BO81" s="13"/>
      <c r="BP81" t="s">
        <v>134</v>
      </c>
      <c r="BQ81" s="8">
        <v>70</v>
      </c>
    </row>
    <row r="82" spans="1:69">
      <c r="A82" s="72"/>
      <c r="B82" s="9"/>
      <c r="C82" s="10"/>
      <c r="D82" s="5"/>
      <c r="E82" s="10"/>
      <c r="F82" s="5"/>
      <c r="G82" s="11"/>
      <c r="H82" s="11"/>
      <c r="I82" s="13"/>
      <c r="K82" s="8"/>
      <c r="M82" s="9"/>
      <c r="N82" s="5"/>
      <c r="O82" s="5"/>
      <c r="P82" s="10"/>
      <c r="Q82" s="33"/>
      <c r="R82" s="11"/>
      <c r="S82" s="11"/>
      <c r="T82" s="13"/>
      <c r="V82" s="8"/>
      <c r="X82" s="72"/>
      <c r="Y82" s="9"/>
      <c r="Z82" s="15">
        <f>AA81</f>
        <v>748340</v>
      </c>
      <c r="AA82" s="5"/>
      <c r="AB82" s="10"/>
      <c r="AC82" s="33"/>
      <c r="AD82" s="11"/>
      <c r="AE82" s="11"/>
      <c r="AF82" s="13"/>
      <c r="AH82" s="8"/>
      <c r="AJ82" s="9"/>
      <c r="AK82" s="5"/>
      <c r="AL82" s="5"/>
      <c r="AM82" s="10"/>
      <c r="AN82" s="33"/>
      <c r="AO82" s="11"/>
      <c r="AP82" s="11"/>
      <c r="AQ82" s="13"/>
      <c r="AS82" s="8"/>
      <c r="AU82" s="72"/>
      <c r="AV82" s="9"/>
      <c r="AW82" s="5"/>
      <c r="AX82" s="5"/>
      <c r="AY82" s="10"/>
      <c r="AZ82" s="33"/>
      <c r="BA82" s="11"/>
      <c r="BB82" s="11"/>
      <c r="BC82" s="13"/>
      <c r="BE82" s="8"/>
      <c r="BG82" s="72"/>
      <c r="BH82" s="9"/>
      <c r="BI82" s="10"/>
      <c r="BJ82" s="5"/>
      <c r="BK82" s="10"/>
      <c r="BL82" s="33"/>
      <c r="BM82" s="11"/>
      <c r="BN82" s="11"/>
      <c r="BO82" s="13"/>
      <c r="BP82" t="s">
        <v>133</v>
      </c>
      <c r="BQ82" s="8">
        <v>750</v>
      </c>
    </row>
    <row r="83" spans="1:69">
      <c r="A83" s="72"/>
      <c r="B83" s="9"/>
      <c r="C83" s="10"/>
      <c r="D83" s="5"/>
      <c r="E83" s="10"/>
      <c r="F83" s="5"/>
      <c r="G83" s="11"/>
      <c r="H83" s="11"/>
      <c r="I83" s="13"/>
      <c r="K83" s="14"/>
      <c r="M83" s="9"/>
      <c r="N83" s="5"/>
      <c r="O83" s="5"/>
      <c r="P83" s="10"/>
      <c r="Q83" s="33"/>
      <c r="R83" s="11"/>
      <c r="S83" s="11"/>
      <c r="T83" s="13"/>
      <c r="V83" s="14"/>
      <c r="X83" s="72"/>
      <c r="Y83" s="9"/>
      <c r="Z83" s="5"/>
      <c r="AA83" s="5"/>
      <c r="AB83" s="10"/>
      <c r="AC83" s="33"/>
      <c r="AD83" s="11"/>
      <c r="AE83" s="11"/>
      <c r="AF83" s="13"/>
      <c r="AH83" s="14"/>
      <c r="AJ83" s="9"/>
      <c r="AK83" s="5"/>
      <c r="AL83" s="5"/>
      <c r="AM83" s="10"/>
      <c r="AN83" s="33"/>
      <c r="AO83" s="11"/>
      <c r="AP83" s="11"/>
      <c r="AQ83" s="13"/>
      <c r="AS83" s="14"/>
      <c r="AU83" s="72"/>
      <c r="AV83" s="9"/>
      <c r="AW83" s="5"/>
      <c r="AX83" s="5"/>
      <c r="AY83" s="10"/>
      <c r="AZ83" s="33"/>
      <c r="BA83" s="11"/>
      <c r="BB83" s="11"/>
      <c r="BC83" s="13"/>
      <c r="BE83" s="14"/>
      <c r="BG83" s="72"/>
      <c r="BH83" s="9"/>
      <c r="BI83" s="10"/>
      <c r="BJ83" s="5"/>
      <c r="BK83" s="10"/>
      <c r="BL83" s="33"/>
      <c r="BM83" s="11"/>
      <c r="BN83" s="11"/>
      <c r="BO83" s="13"/>
      <c r="BQ83" s="14"/>
    </row>
    <row r="84" spans="1:69">
      <c r="A84" s="72"/>
      <c r="B84" s="9"/>
      <c r="C84" s="10"/>
      <c r="D84" s="5"/>
      <c r="E84" s="10"/>
      <c r="F84" s="5"/>
      <c r="G84" s="11"/>
      <c r="H84" s="11"/>
      <c r="I84" s="13"/>
      <c r="K84" s="8"/>
      <c r="M84" s="9"/>
      <c r="N84" s="15"/>
      <c r="O84" s="5"/>
      <c r="P84" s="10"/>
      <c r="Q84" s="33"/>
      <c r="R84" s="11"/>
      <c r="S84" s="11"/>
      <c r="T84" s="13"/>
      <c r="V84" s="8"/>
      <c r="X84" s="72"/>
      <c r="Y84" s="9"/>
      <c r="Z84" s="15"/>
      <c r="AA84" s="5"/>
      <c r="AB84" s="10"/>
      <c r="AC84" s="33"/>
      <c r="AD84" s="11"/>
      <c r="AE84" s="11"/>
      <c r="AF84" s="13"/>
      <c r="AH84" s="8"/>
      <c r="AJ84" s="9"/>
      <c r="AK84" s="15"/>
      <c r="AL84" s="5"/>
      <c r="AM84" s="10"/>
      <c r="AN84" s="33"/>
      <c r="AO84" s="11"/>
      <c r="AP84" s="11"/>
      <c r="AQ84" s="13"/>
      <c r="AS84" s="8"/>
      <c r="AU84" s="72"/>
      <c r="AV84" s="9"/>
      <c r="AW84" s="15"/>
      <c r="AX84" s="5"/>
      <c r="AY84" s="10"/>
      <c r="AZ84" s="33"/>
      <c r="BA84" s="11"/>
      <c r="BB84" s="11"/>
      <c r="BC84" s="13"/>
      <c r="BE84" s="8"/>
      <c r="BG84" s="72"/>
      <c r="BH84" s="9"/>
      <c r="BI84" s="10"/>
      <c r="BJ84" s="5"/>
      <c r="BK84" s="10"/>
      <c r="BL84" s="33"/>
      <c r="BM84" s="11"/>
      <c r="BN84" s="11"/>
      <c r="BO84" s="13"/>
      <c r="BQ84" s="8"/>
    </row>
    <row r="85" spans="1:69">
      <c r="A85" s="72"/>
      <c r="B85" s="5"/>
      <c r="C85" s="10"/>
      <c r="D85" s="5"/>
      <c r="E85" s="10"/>
      <c r="F85" s="5"/>
      <c r="G85" s="11"/>
      <c r="H85" s="11"/>
      <c r="I85" s="13"/>
      <c r="K85" s="8"/>
      <c r="M85" s="5"/>
      <c r="N85" s="15"/>
      <c r="O85" s="5"/>
      <c r="P85" s="10"/>
      <c r="Q85" s="33"/>
      <c r="R85" s="11"/>
      <c r="S85" s="11"/>
      <c r="T85" s="13"/>
      <c r="V85" s="8"/>
      <c r="X85" s="72"/>
      <c r="Y85" s="5"/>
      <c r="Z85" s="15"/>
      <c r="AA85" s="5"/>
      <c r="AB85" s="10"/>
      <c r="AC85" s="33"/>
      <c r="AD85" s="11"/>
      <c r="AE85" s="11"/>
      <c r="AF85" s="13"/>
      <c r="AH85" s="8"/>
      <c r="AJ85" s="5"/>
      <c r="AK85" s="15"/>
      <c r="AL85" s="5"/>
      <c r="AM85" s="10"/>
      <c r="AN85" s="33"/>
      <c r="AO85" s="11"/>
      <c r="AP85" s="11"/>
      <c r="AQ85" s="13"/>
      <c r="AS85" s="8"/>
      <c r="AU85" s="72"/>
      <c r="AV85" s="5"/>
      <c r="AW85" s="15"/>
      <c r="AX85" s="5"/>
      <c r="AY85" s="10"/>
      <c r="AZ85" s="33"/>
      <c r="BA85" s="11"/>
      <c r="BB85" s="11"/>
      <c r="BC85" s="13"/>
      <c r="BE85" s="8"/>
      <c r="BG85" s="72"/>
      <c r="BH85" s="5"/>
      <c r="BI85" s="10"/>
      <c r="BJ85" s="5"/>
      <c r="BK85" s="10"/>
      <c r="BL85" s="33"/>
      <c r="BM85" s="11"/>
      <c r="BN85" s="11"/>
      <c r="BO85" s="13"/>
      <c r="BQ85" s="8"/>
    </row>
    <row r="86" spans="1:69">
      <c r="A86" s="72"/>
      <c r="B86" s="5"/>
      <c r="C86" s="10"/>
      <c r="D86" s="5"/>
      <c r="E86" s="10"/>
      <c r="F86" s="5"/>
      <c r="G86" s="11"/>
      <c r="H86" s="11"/>
      <c r="I86" s="13"/>
      <c r="K86" s="8"/>
      <c r="M86" s="5"/>
      <c r="N86" s="15"/>
      <c r="O86" s="5"/>
      <c r="P86" s="10"/>
      <c r="Q86" s="33"/>
      <c r="R86" s="11"/>
      <c r="S86" s="11"/>
      <c r="T86" s="13"/>
      <c r="V86" s="8"/>
      <c r="X86" s="72"/>
      <c r="Y86" s="5"/>
      <c r="Z86" s="15"/>
      <c r="AA86" s="5"/>
      <c r="AB86" s="10"/>
      <c r="AC86" s="33"/>
      <c r="AD86" s="11"/>
      <c r="AE86" s="11"/>
      <c r="AF86" s="13"/>
      <c r="AH86" s="8"/>
      <c r="AJ86" s="5"/>
      <c r="AK86" s="15"/>
      <c r="AL86" s="5"/>
      <c r="AM86" s="10"/>
      <c r="AN86" s="33"/>
      <c r="AO86" s="11"/>
      <c r="AP86" s="11"/>
      <c r="AQ86" s="13"/>
      <c r="AS86" s="8"/>
      <c r="AU86" s="72"/>
      <c r="AV86" s="5"/>
      <c r="AW86" s="15"/>
      <c r="AX86" s="5"/>
      <c r="AY86" s="10"/>
      <c r="AZ86" s="33"/>
      <c r="BA86" s="11"/>
      <c r="BB86" s="11"/>
      <c r="BC86" s="13"/>
      <c r="BE86" s="8"/>
      <c r="BG86" s="72"/>
      <c r="BH86" s="5"/>
      <c r="BI86" s="10"/>
      <c r="BJ86" s="5"/>
      <c r="BK86" s="10"/>
      <c r="BL86" s="33"/>
      <c r="BM86" s="11"/>
      <c r="BN86" s="11"/>
      <c r="BO86" s="13"/>
      <c r="BQ86" s="8"/>
    </row>
    <row r="87" spans="1:69">
      <c r="A87" s="72"/>
      <c r="B87" s="5"/>
      <c r="C87" s="10"/>
      <c r="D87" s="5"/>
      <c r="E87" s="10"/>
      <c r="F87" s="5"/>
      <c r="G87" s="11"/>
      <c r="H87" s="11"/>
      <c r="I87" s="13"/>
      <c r="K87" s="8"/>
      <c r="M87" s="5"/>
      <c r="N87" s="15"/>
      <c r="O87" s="5"/>
      <c r="P87" s="10"/>
      <c r="Q87" s="33"/>
      <c r="R87" s="11"/>
      <c r="S87" s="11"/>
      <c r="T87" s="13"/>
      <c r="V87" s="8"/>
      <c r="X87" s="72"/>
      <c r="Y87" s="5"/>
      <c r="Z87" s="15"/>
      <c r="AA87" s="5"/>
      <c r="AB87" s="10"/>
      <c r="AC87" s="33"/>
      <c r="AD87" s="11"/>
      <c r="AE87" s="11"/>
      <c r="AF87" s="13"/>
      <c r="AH87" s="8"/>
      <c r="AJ87" s="5"/>
      <c r="AK87" s="15"/>
      <c r="AL87" s="5"/>
      <c r="AM87" s="10"/>
      <c r="AN87" s="33"/>
      <c r="AO87" s="11"/>
      <c r="AP87" s="11"/>
      <c r="AQ87" s="13"/>
      <c r="AS87" s="8"/>
      <c r="AU87" s="72"/>
      <c r="AV87" s="5"/>
      <c r="AW87" s="15"/>
      <c r="AX87" s="5"/>
      <c r="AY87" s="10"/>
      <c r="AZ87" s="33"/>
      <c r="BA87" s="11"/>
      <c r="BB87" s="11"/>
      <c r="BC87" s="13"/>
      <c r="BE87" s="8"/>
      <c r="BG87" s="72"/>
      <c r="BH87" s="5"/>
      <c r="BI87" s="10"/>
      <c r="BJ87" s="5"/>
      <c r="BK87" s="10"/>
      <c r="BL87" s="33"/>
      <c r="BM87" s="11"/>
      <c r="BN87" s="11"/>
      <c r="BO87" s="13"/>
      <c r="BQ87" s="8"/>
    </row>
    <row r="88" spans="1:69">
      <c r="A88" s="72"/>
      <c r="B88" s="5"/>
      <c r="C88" s="10"/>
      <c r="D88" s="5"/>
      <c r="E88" s="10"/>
      <c r="F88" s="5"/>
      <c r="G88" s="11"/>
      <c r="H88" s="11"/>
      <c r="I88" s="13"/>
      <c r="K88" s="8"/>
      <c r="M88" s="5"/>
      <c r="N88" s="15"/>
      <c r="O88" s="5"/>
      <c r="P88" s="10"/>
      <c r="Q88" s="33"/>
      <c r="R88" s="11"/>
      <c r="S88" s="11"/>
      <c r="T88" s="13"/>
      <c r="V88" s="8"/>
      <c r="X88" s="72"/>
      <c r="Y88" s="5"/>
      <c r="Z88" s="15"/>
      <c r="AA88" s="5"/>
      <c r="AB88" s="10"/>
      <c r="AC88" s="33"/>
      <c r="AD88" s="11"/>
      <c r="AE88" s="11"/>
      <c r="AF88" s="13"/>
      <c r="AH88" s="8"/>
      <c r="AJ88" s="5"/>
      <c r="AK88" s="15"/>
      <c r="AL88" s="5"/>
      <c r="AM88" s="10"/>
      <c r="AN88" s="33"/>
      <c r="AO88" s="11"/>
      <c r="AP88" s="11"/>
      <c r="AQ88" s="13"/>
      <c r="AS88" s="8"/>
      <c r="AU88" s="72"/>
      <c r="AV88" s="5"/>
      <c r="AW88" s="15"/>
      <c r="AX88" s="5"/>
      <c r="AY88" s="10"/>
      <c r="AZ88" s="33"/>
      <c r="BA88" s="11"/>
      <c r="BB88" s="11"/>
      <c r="BC88" s="13"/>
      <c r="BE88" s="8"/>
      <c r="BG88" s="72"/>
      <c r="BH88" s="5"/>
      <c r="BI88" s="10"/>
      <c r="BJ88" s="5"/>
      <c r="BK88" s="10"/>
      <c r="BL88" s="33"/>
      <c r="BM88" s="11"/>
      <c r="BN88" s="11"/>
      <c r="BO88" s="13"/>
      <c r="BQ88" s="8"/>
    </row>
    <row r="89" spans="1:69">
      <c r="A89" s="72"/>
      <c r="B89" s="22"/>
      <c r="C89" s="22"/>
      <c r="D89" s="23"/>
      <c r="E89" s="23">
        <f>SUM(E72:E88)</f>
        <v>13378</v>
      </c>
      <c r="F89" s="23">
        <f>SUM(F72:F88)</f>
        <v>3913.34</v>
      </c>
      <c r="G89" s="30">
        <f>Table26912142030405470829811261014[[#This Row],[KM Rodado]]/Table26912142030405470829811261014[[#This Row],[Consumo Lt]]</f>
        <v>3.4185631711019231</v>
      </c>
      <c r="H89" s="22"/>
      <c r="I89" s="27">
        <f>SUM(I72:I88)</f>
        <v>22410.98</v>
      </c>
      <c r="J89" s="21" t="s">
        <v>10</v>
      </c>
      <c r="K89" s="21">
        <f>SUM(K72:K88)</f>
        <v>894</v>
      </c>
      <c r="M89" s="22"/>
      <c r="N89" s="22"/>
      <c r="O89" s="23"/>
      <c r="P89" s="23">
        <f>SUM(P72:P88)</f>
        <v>11194</v>
      </c>
      <c r="Q89" s="30">
        <f>SUM(Q72:Q88)</f>
        <v>3349.2210000000005</v>
      </c>
      <c r="R89" s="30">
        <f>Table269121420304054708298112481216[[#This Row],[KM Rodado]]/Table269121420304054708298112481216[[#This Row],[Consumo Lt]]</f>
        <v>3.3422697397394794</v>
      </c>
      <c r="S89" s="30">
        <f>SUM(S72:S88)</f>
        <v>207.84899999999999</v>
      </c>
      <c r="T89" s="22">
        <f>SUM(T72:T88)</f>
        <v>19874.509999999998</v>
      </c>
      <c r="U89" s="21" t="s">
        <v>10</v>
      </c>
      <c r="V89" s="21">
        <f>SUM(V72:V88)</f>
        <v>1674</v>
      </c>
      <c r="X89" s="72"/>
      <c r="Y89" s="22"/>
      <c r="Z89" s="22"/>
      <c r="AA89" s="23"/>
      <c r="AB89" s="23">
        <f>SUM(AB72:AB88)</f>
        <v>9927</v>
      </c>
      <c r="AC89" s="30">
        <f>SUM(AC72:AC88)</f>
        <v>3605.8140000000003</v>
      </c>
      <c r="AD89" s="30">
        <f>Table26912142030405470829811248121640[[#This Row],[KM Rodado]]/Table26912142030405470829811248121640[[#This Row],[Consumo Lt]]</f>
        <v>2.7530538180837945</v>
      </c>
      <c r="AE89" s="30">
        <f>SUM(AE72:AE88)</f>
        <v>256.74099999999999</v>
      </c>
      <c r="AF89" s="22">
        <f>SUM(AF72:AF88)</f>
        <v>23647.079999999998</v>
      </c>
      <c r="AG89" s="21" t="s">
        <v>10</v>
      </c>
      <c r="AH89" s="21">
        <f>SUM(AH72:AH88)</f>
        <v>884</v>
      </c>
      <c r="AJ89" s="22"/>
      <c r="AK89" s="22"/>
      <c r="AL89" s="23"/>
      <c r="AM89" s="23">
        <f>SUM(AM72:AM88)</f>
        <v>14939</v>
      </c>
      <c r="AN89" s="30">
        <f>SUM(AN72:AN88)</f>
        <v>3775.989</v>
      </c>
      <c r="AO89" s="30">
        <f>Table2691214203040547082981124812164072[[#This Row],[KM Rodado]]/Table2691214203040547082981124812164072[[#This Row],[Consumo Lt]]</f>
        <v>3.9563144913822579</v>
      </c>
      <c r="AP89" s="30">
        <f>SUM(AP72:AP88)</f>
        <v>287.73</v>
      </c>
      <c r="AQ89" s="22">
        <f>SUM(AQ72:AQ88)</f>
        <v>26956.360000000004</v>
      </c>
      <c r="AR89" s="21" t="s">
        <v>10</v>
      </c>
      <c r="AS89" s="21">
        <f>SUM(AS72:AS88)</f>
        <v>804</v>
      </c>
      <c r="AU89" s="72"/>
      <c r="AV89" s="22"/>
      <c r="AW89" s="22"/>
      <c r="AX89" s="23"/>
      <c r="AY89" s="23">
        <f>AW79-AW72</f>
        <v>12783</v>
      </c>
      <c r="AZ89" s="30">
        <f>SUM(AZ72:AZ88)</f>
        <v>3950.491</v>
      </c>
      <c r="BA89" s="30">
        <f>Table2691214203040547082981124812164072136[[#This Row],[KM Rodado]]/Table2691214203040547082981124812164072136[[#This Row],[Consumo Lt]]</f>
        <v>3.2358003093792647</v>
      </c>
      <c r="BB89" s="30">
        <f>SUM(BB72:BB88)</f>
        <v>224.37700000000001</v>
      </c>
      <c r="BC89" s="22">
        <f>SUM(BC72:BC88)</f>
        <v>26299.7</v>
      </c>
      <c r="BD89" s="21" t="s">
        <v>10</v>
      </c>
      <c r="BE89" s="21">
        <f>SUM(BE72:BE88)</f>
        <v>1234</v>
      </c>
      <c r="BG89" s="72"/>
      <c r="BH89" s="22"/>
      <c r="BI89" s="22"/>
      <c r="BJ89" s="23"/>
      <c r="BK89" s="23">
        <f>BI79-BI72</f>
        <v>11675</v>
      </c>
      <c r="BL89" s="30">
        <f>SUM(BL72:BL88)</f>
        <v>3753.9721</v>
      </c>
      <c r="BM89" s="30">
        <f>Table2691214203040547082981126101460[[#This Row],[KM Rodado]]/Table2691214203040547082981126101460[[#This Row],[Consumo Lt]]</f>
        <v>3.1100390969874283</v>
      </c>
      <c r="BN89" s="30">
        <f>SUM(BN72:BN88)</f>
        <v>268.42100000000005</v>
      </c>
      <c r="BO89" s="27">
        <f>SUM(BO72:BO88)</f>
        <v>23467.22</v>
      </c>
      <c r="BP89" s="21" t="s">
        <v>10</v>
      </c>
      <c r="BQ89" s="21">
        <f>SUM(BQ72:BQ88)</f>
        <v>7971</v>
      </c>
    </row>
    <row r="93" spans="1:69" ht="33.75" customHeight="1">
      <c r="B93" s="71">
        <v>46023</v>
      </c>
      <c r="C93" s="71"/>
      <c r="D93" s="71"/>
      <c r="E93" s="71"/>
      <c r="F93" s="71"/>
      <c r="G93" s="71"/>
      <c r="H93" s="71"/>
      <c r="I93" s="71"/>
      <c r="J93" s="71"/>
      <c r="L93" s="73">
        <v>46054</v>
      </c>
      <c r="M93" s="73"/>
      <c r="N93" s="73"/>
      <c r="O93" s="73"/>
      <c r="P93" s="73"/>
      <c r="Q93" s="73"/>
      <c r="R93" s="73"/>
      <c r="S93" s="73"/>
      <c r="T93" s="73"/>
      <c r="W93" s="71">
        <v>46082</v>
      </c>
      <c r="X93" s="71"/>
      <c r="Y93" s="71"/>
      <c r="Z93" s="71"/>
      <c r="AA93" s="71"/>
      <c r="AB93" s="71"/>
      <c r="AC93" s="71"/>
      <c r="AD93" s="71"/>
      <c r="AE93" s="71"/>
      <c r="AF93" s="71"/>
      <c r="AI93" s="71">
        <v>46113</v>
      </c>
      <c r="AJ93" s="71"/>
      <c r="AK93" s="71"/>
      <c r="AL93" s="71"/>
      <c r="AM93" s="71"/>
      <c r="AN93" s="71"/>
      <c r="AO93" s="71"/>
      <c r="AP93" s="71"/>
      <c r="AQ93" s="71"/>
      <c r="AU93" s="73">
        <v>46143</v>
      </c>
      <c r="AV93" s="73"/>
      <c r="AW93" s="73"/>
      <c r="AX93" s="73"/>
      <c r="AY93" s="73"/>
      <c r="AZ93" s="73"/>
      <c r="BA93" s="73"/>
      <c r="BB93" s="73"/>
      <c r="BC93" s="73"/>
      <c r="BH93" s="71">
        <v>46174</v>
      </c>
      <c r="BI93" s="71"/>
      <c r="BJ93" s="71"/>
      <c r="BK93" s="71"/>
      <c r="BL93" s="71"/>
      <c r="BM93" s="71"/>
      <c r="BN93" s="71"/>
      <c r="BO93" s="71"/>
      <c r="BP93" s="71"/>
    </row>
    <row r="94" spans="1:69">
      <c r="A94" s="1" t="s">
        <v>11</v>
      </c>
      <c r="B94" s="1" t="s">
        <v>0</v>
      </c>
      <c r="C94" s="1" t="s">
        <v>1</v>
      </c>
      <c r="D94" s="1" t="s">
        <v>2</v>
      </c>
      <c r="E94" s="1" t="s">
        <v>3</v>
      </c>
      <c r="F94" s="1" t="s">
        <v>4</v>
      </c>
      <c r="G94" s="1" t="s">
        <v>5</v>
      </c>
      <c r="H94" s="17" t="s">
        <v>21</v>
      </c>
      <c r="I94" s="2" t="s">
        <v>6</v>
      </c>
      <c r="J94" s="3" t="s">
        <v>7</v>
      </c>
      <c r="K94" s="4" t="s">
        <v>6</v>
      </c>
      <c r="M94" s="1" t="s">
        <v>0</v>
      </c>
      <c r="N94" s="1" t="s">
        <v>1</v>
      </c>
      <c r="O94" s="1" t="s">
        <v>2</v>
      </c>
      <c r="P94" s="1" t="s">
        <v>3</v>
      </c>
      <c r="Q94" s="1" t="s">
        <v>4</v>
      </c>
      <c r="R94" s="1" t="s">
        <v>5</v>
      </c>
      <c r="S94" s="17" t="s">
        <v>21</v>
      </c>
      <c r="T94" s="2" t="s">
        <v>6</v>
      </c>
      <c r="U94" s="3" t="s">
        <v>7</v>
      </c>
      <c r="V94" s="4" t="s">
        <v>6</v>
      </c>
      <c r="X94" s="1" t="s">
        <v>11</v>
      </c>
      <c r="Y94" s="1" t="s">
        <v>0</v>
      </c>
      <c r="Z94" s="1" t="s">
        <v>1</v>
      </c>
      <c r="AA94" s="1" t="s">
        <v>2</v>
      </c>
      <c r="AB94" s="1" t="s">
        <v>3</v>
      </c>
      <c r="AC94" s="1" t="s">
        <v>4</v>
      </c>
      <c r="AD94" s="1" t="s">
        <v>5</v>
      </c>
      <c r="AE94" s="17" t="s">
        <v>21</v>
      </c>
      <c r="AF94" s="2" t="s">
        <v>6</v>
      </c>
      <c r="AG94" s="3" t="s">
        <v>7</v>
      </c>
      <c r="AH94" s="4" t="s">
        <v>6</v>
      </c>
      <c r="AJ94" s="1" t="s">
        <v>0</v>
      </c>
      <c r="AK94" s="1" t="s">
        <v>1</v>
      </c>
      <c r="AL94" s="1" t="s">
        <v>2</v>
      </c>
      <c r="AM94" s="1" t="s">
        <v>3</v>
      </c>
      <c r="AN94" s="1" t="s">
        <v>4</v>
      </c>
      <c r="AO94" s="1" t="s">
        <v>5</v>
      </c>
      <c r="AP94" s="17" t="s">
        <v>21</v>
      </c>
      <c r="AQ94" s="2" t="s">
        <v>6</v>
      </c>
      <c r="AR94" s="3" t="s">
        <v>7</v>
      </c>
      <c r="AS94" s="4" t="s">
        <v>6</v>
      </c>
      <c r="AU94" s="1" t="s">
        <v>11</v>
      </c>
      <c r="AV94" s="1" t="s">
        <v>0</v>
      </c>
      <c r="AW94" s="1" t="s">
        <v>1</v>
      </c>
      <c r="AX94" s="1" t="s">
        <v>2</v>
      </c>
      <c r="AY94" s="1" t="s">
        <v>3</v>
      </c>
      <c r="AZ94" s="1" t="s">
        <v>4</v>
      </c>
      <c r="BA94" s="1" t="s">
        <v>5</v>
      </c>
      <c r="BB94" s="17" t="s">
        <v>21</v>
      </c>
      <c r="BC94" s="2" t="s">
        <v>6</v>
      </c>
      <c r="BD94" s="3" t="s">
        <v>7</v>
      </c>
      <c r="BE94" s="4" t="s">
        <v>6</v>
      </c>
      <c r="BG94" s="1" t="s">
        <v>11</v>
      </c>
      <c r="BH94" s="1" t="s">
        <v>0</v>
      </c>
      <c r="BI94" s="1" t="s">
        <v>1</v>
      </c>
      <c r="BJ94" s="1" t="s">
        <v>2</v>
      </c>
      <c r="BK94" s="1" t="s">
        <v>3</v>
      </c>
      <c r="BL94" s="1" t="s">
        <v>4</v>
      </c>
      <c r="BM94" s="1" t="s">
        <v>5</v>
      </c>
      <c r="BN94" s="17" t="s">
        <v>21</v>
      </c>
      <c r="BO94" s="2" t="s">
        <v>6</v>
      </c>
      <c r="BP94" s="3" t="s">
        <v>7</v>
      </c>
      <c r="BQ94" s="4" t="s">
        <v>6</v>
      </c>
    </row>
    <row r="95" spans="1:69" ht="15" customHeight="1">
      <c r="A95" s="72" t="s">
        <v>16</v>
      </c>
      <c r="B95" s="16">
        <v>46025</v>
      </c>
      <c r="C95" s="10">
        <v>644803</v>
      </c>
      <c r="D95" s="10">
        <v>645351</v>
      </c>
      <c r="E95" s="10">
        <f>Table2691214203040547082981126101418[[#This Row],[KM Final]]-Table2691214203040547082981126101418[[#This Row],[KM Inicial]]</f>
        <v>548</v>
      </c>
      <c r="F95" s="10">
        <v>177.63</v>
      </c>
      <c r="G95" s="12">
        <f>Table2691214203040547082981126101418[[#This Row],[KM Rodado]]/Table2691214203040547082981126101418[[#This Row],[Consumo Lt]]</f>
        <v>3.0850644598322354</v>
      </c>
      <c r="H95" s="18"/>
      <c r="I95" s="12">
        <v>998.32</v>
      </c>
      <c r="J95" t="s">
        <v>8</v>
      </c>
      <c r="K95" s="8">
        <v>504</v>
      </c>
      <c r="M95" s="16">
        <v>46057</v>
      </c>
      <c r="N95" s="10">
        <v>660655</v>
      </c>
      <c r="O95" s="10">
        <v>661988</v>
      </c>
      <c r="P95" s="10">
        <f>Table26912142030405470829811248121620[[#This Row],[KM Final]]-Table26912142030405470829811248121620[[#This Row],[KM Inicial]]</f>
        <v>1333</v>
      </c>
      <c r="Q95" s="10">
        <v>434.38</v>
      </c>
      <c r="R95" s="11">
        <f>Table26912142030405470829811248121620[[#This Row],[KM Rodado]]/Table26912142030405470829811248121620[[#This Row],[Consumo Lt]]</f>
        <v>3.0687416547723192</v>
      </c>
      <c r="S95" s="11">
        <v>27.42</v>
      </c>
      <c r="T95" s="12">
        <v>2454.4299999999998</v>
      </c>
      <c r="U95" t="s">
        <v>8</v>
      </c>
      <c r="V95" s="8">
        <v>504</v>
      </c>
      <c r="X95" s="72" t="s">
        <v>16</v>
      </c>
      <c r="Y95" s="16">
        <v>46082</v>
      </c>
      <c r="Z95" s="10">
        <v>673586</v>
      </c>
      <c r="AA95" s="10">
        <v>674967</v>
      </c>
      <c r="AB95" s="10">
        <f>Table2691214203040547082981124812162042[[#This Row],[KM Final]]-Table2691214203040547082981124812162042[[#This Row],[KM Inicial]]</f>
        <v>1381</v>
      </c>
      <c r="AC95" s="10">
        <v>473.02</v>
      </c>
      <c r="AD95" s="11">
        <f>Table2691214203040547082981124812162042[[#This Row],[KM Rodado]]/Table2691214203040547082981124812162042[[#This Row],[Consumo Lt]]</f>
        <v>2.9195382859075729</v>
      </c>
      <c r="AE95" s="18">
        <v>25</v>
      </c>
      <c r="AF95" s="12">
        <v>2706.33</v>
      </c>
      <c r="AG95" t="s">
        <v>8</v>
      </c>
      <c r="AH95" s="8">
        <v>504</v>
      </c>
      <c r="AJ95" s="16">
        <v>46115</v>
      </c>
      <c r="AK95" s="10">
        <v>687309</v>
      </c>
      <c r="AL95" s="10">
        <v>688665</v>
      </c>
      <c r="AM95" s="10">
        <f>Table269121420304054708298112481216204274[[#This Row],[KM Final]]-Table269121420304054708298112481216204274[[#This Row],[KM Inicial]]</f>
        <v>1356</v>
      </c>
      <c r="AN95" s="10">
        <v>454.09</v>
      </c>
      <c r="AO95" s="11">
        <f>Table269121420304054708298112481216204274[[#This Row],[KM Rodado]]/Table269121420304054708298112481216204274[[#This Row],[Consumo Lt]]</f>
        <v>2.986192164548878</v>
      </c>
      <c r="AP95" s="18">
        <v>28.94</v>
      </c>
      <c r="AQ95" s="12">
        <v>3359.27</v>
      </c>
      <c r="AR95" t="s">
        <v>8</v>
      </c>
      <c r="AS95" s="8">
        <v>504</v>
      </c>
      <c r="AU95" s="72" t="s">
        <v>16</v>
      </c>
      <c r="AV95" s="16">
        <v>46143</v>
      </c>
      <c r="AW95" s="10">
        <v>699075</v>
      </c>
      <c r="AX95" s="10">
        <v>700106</v>
      </c>
      <c r="AY95" s="10">
        <f>Table269121420304054708298112481216204274138[[#This Row],[KM Final]]-Table269121420304054708298112481216204274138[[#This Row],[KM Inicial]]</f>
        <v>1031</v>
      </c>
      <c r="AZ95" s="10">
        <v>326.17</v>
      </c>
      <c r="BA95" s="11">
        <f>Table269121420304054708298112481216204274138[[#This Row],[KM Rodado]]/Table269121420304054708298112481216204274138[[#This Row],[Consumo Lt]]</f>
        <v>3.1609283502468037</v>
      </c>
      <c r="BB95" s="18"/>
      <c r="BC95" s="12">
        <v>2201.56</v>
      </c>
      <c r="BD95" t="s">
        <v>8</v>
      </c>
      <c r="BE95" s="8">
        <v>504</v>
      </c>
      <c r="BG95" s="72" t="s">
        <v>16</v>
      </c>
      <c r="BH95" s="16">
        <v>46174</v>
      </c>
      <c r="BI95" s="10">
        <v>712461</v>
      </c>
      <c r="BJ95" s="10">
        <v>713594</v>
      </c>
      <c r="BK95" s="10">
        <f>Table269121420304054708298112610141862[[#This Row],[KM Final]]-Table269121420304054708298112610141862[[#This Row],[KM Inicial]]</f>
        <v>1133</v>
      </c>
      <c r="BL95" s="11">
        <v>429.91</v>
      </c>
      <c r="BM95" s="69">
        <f>Table269121420304054708298112610141862[[#This Row],[KM Rodado]]/Table269121420304054708298112610141862[[#This Row],[Consumo Lt]]</f>
        <v>2.6354353236723962</v>
      </c>
      <c r="BN95" s="11"/>
      <c r="BO95" s="12">
        <v>2747.12</v>
      </c>
      <c r="BP95" t="s">
        <v>8</v>
      </c>
      <c r="BQ95" s="8">
        <v>504</v>
      </c>
    </row>
    <row r="96" spans="1:69">
      <c r="A96" s="72"/>
      <c r="B96" s="16">
        <v>5</v>
      </c>
      <c r="C96" s="10">
        <f t="shared" ref="C96:C109" si="22">D95</f>
        <v>645351</v>
      </c>
      <c r="D96" s="10">
        <v>646702</v>
      </c>
      <c r="E96" s="10">
        <f>Table2691214203040547082981126101418[[#This Row],[KM Final]]-Table2691214203040547082981126101418[[#This Row],[KM Inicial]]</f>
        <v>1351</v>
      </c>
      <c r="F96" s="10">
        <v>425.26</v>
      </c>
      <c r="G96" s="12">
        <f>Table2691214203040547082981126101418[[#This Row],[KM Rodado]]/Table2691214203040547082981126101418[[#This Row],[Consumo Lt]]</f>
        <v>3.1768800263368293</v>
      </c>
      <c r="H96" s="18">
        <v>30</v>
      </c>
      <c r="I96" s="12">
        <v>2394.44</v>
      </c>
      <c r="J96" t="s">
        <v>20</v>
      </c>
      <c r="K96" s="8">
        <v>300</v>
      </c>
      <c r="M96" s="16">
        <v>46059</v>
      </c>
      <c r="N96" s="10">
        <f t="shared" ref="N96:N104" si="23">O95</f>
        <v>661988</v>
      </c>
      <c r="O96" s="10">
        <v>663515</v>
      </c>
      <c r="P96" s="10">
        <f>Table26912142030405470829811248121620[[#This Row],[KM Final]]-Table26912142030405470829811248121620[[#This Row],[KM Inicial]]</f>
        <v>1527</v>
      </c>
      <c r="Q96" s="10">
        <v>549</v>
      </c>
      <c r="R96" s="11">
        <f>Table26912142030405470829811248121620[[#This Row],[KM Rodado]]/Table26912142030405470829811248121620[[#This Row],[Consumo Lt]]</f>
        <v>2.7814207650273226</v>
      </c>
      <c r="S96" s="11">
        <v>35.880000000000003</v>
      </c>
      <c r="T96" s="12">
        <v>3125.09</v>
      </c>
      <c r="U96" t="s">
        <v>20</v>
      </c>
      <c r="V96" s="8">
        <v>300</v>
      </c>
      <c r="X96" s="72"/>
      <c r="Y96" s="16">
        <v>46083</v>
      </c>
      <c r="Z96" s="10">
        <f t="shared" ref="Z96:Z107" si="24">AA95</f>
        <v>674967</v>
      </c>
      <c r="AA96" s="10">
        <v>675620</v>
      </c>
      <c r="AB96" s="10">
        <f>Table2691214203040547082981124812162042[[#This Row],[KM Final]]-Table2691214203040547082981124812162042[[#This Row],[KM Inicial]]</f>
        <v>653</v>
      </c>
      <c r="AC96" s="10">
        <v>210</v>
      </c>
      <c r="AD96" s="11">
        <f>Table2691214203040547082981124812162042[[#This Row],[KM Rodado]]/Table2691214203040547082981124812162042[[#This Row],[Consumo Lt]]</f>
        <v>3.1095238095238096</v>
      </c>
      <c r="AE96" s="18">
        <v>15</v>
      </c>
      <c r="AF96" s="12">
        <v>1193.25</v>
      </c>
      <c r="AG96" t="s">
        <v>20</v>
      </c>
      <c r="AH96" s="8">
        <v>300</v>
      </c>
      <c r="AJ96" s="16">
        <v>46118</v>
      </c>
      <c r="AK96" s="10">
        <f t="shared" ref="AK96:AK104" si="25">AL95</f>
        <v>688665</v>
      </c>
      <c r="AL96" s="10">
        <v>690364</v>
      </c>
      <c r="AM96" s="10">
        <f>Table269121420304054708298112481216204274[[#This Row],[KM Final]]-Table269121420304054708298112481216204274[[#This Row],[KM Inicial]]</f>
        <v>1699</v>
      </c>
      <c r="AN96" s="10">
        <v>580</v>
      </c>
      <c r="AO96" s="11">
        <f>Table269121420304054708298112481216204274[[#This Row],[KM Rodado]]/Table269121420304054708298112481216204274[[#This Row],[Consumo Lt]]</f>
        <v>2.9293103448275861</v>
      </c>
      <c r="AP96" s="18">
        <v>35.520000000000003</v>
      </c>
      <c r="AQ96" s="12">
        <v>4285.71</v>
      </c>
      <c r="AR96" t="s">
        <v>20</v>
      </c>
      <c r="AS96" s="8">
        <v>300</v>
      </c>
      <c r="AU96" s="72"/>
      <c r="AV96" s="16">
        <v>46147</v>
      </c>
      <c r="AW96" s="10">
        <f t="shared" ref="AW96:AW106" si="26">AX95</f>
        <v>700106</v>
      </c>
      <c r="AX96" s="10">
        <v>701634</v>
      </c>
      <c r="AY96" s="10">
        <f>Table269121420304054708298112481216204274138[[#This Row],[KM Final]]-Table269121420304054708298112481216204274138[[#This Row],[KM Inicial]]</f>
        <v>1528</v>
      </c>
      <c r="AZ96" s="10">
        <v>574.91</v>
      </c>
      <c r="BA96" s="11">
        <f>Table269121420304054708298112481216204274138[[#This Row],[KM Rodado]]/Table269121420304054708298112481216204274138[[#This Row],[Consumo Lt]]</f>
        <v>2.6578073089700998</v>
      </c>
      <c r="BB96" s="18">
        <v>53.74</v>
      </c>
      <c r="BC96" s="12">
        <v>3923.76</v>
      </c>
      <c r="BD96" t="s">
        <v>20</v>
      </c>
      <c r="BE96" s="8">
        <v>300</v>
      </c>
      <c r="BG96" s="72"/>
      <c r="BH96" s="16">
        <v>46176</v>
      </c>
      <c r="BI96" s="10">
        <f t="shared" ref="BI96:BI108" si="27">BJ95</f>
        <v>713594</v>
      </c>
      <c r="BJ96" s="10">
        <v>714814</v>
      </c>
      <c r="BK96" s="10">
        <f>Table269121420304054708298112610141862[[#This Row],[KM Final]]-Table269121420304054708298112610141862[[#This Row],[KM Inicial]]</f>
        <v>1220</v>
      </c>
      <c r="BL96" s="11">
        <v>446</v>
      </c>
      <c r="BM96" s="69">
        <f>Table269121420304054708298112610141862[[#This Row],[KM Rodado]]/Table269121420304054708298112610141862[[#This Row],[Consumo Lt]]</f>
        <v>2.7354260089686098</v>
      </c>
      <c r="BN96" s="11">
        <v>51.31</v>
      </c>
      <c r="BO96" s="12">
        <v>2997.56</v>
      </c>
      <c r="BP96" t="s">
        <v>20</v>
      </c>
      <c r="BQ96" s="8">
        <v>300</v>
      </c>
    </row>
    <row r="97" spans="1:69">
      <c r="A97" s="72"/>
      <c r="B97" s="16">
        <v>46030</v>
      </c>
      <c r="C97" s="10">
        <f t="shared" si="22"/>
        <v>646702</v>
      </c>
      <c r="D97" s="10">
        <v>647955</v>
      </c>
      <c r="E97" s="10">
        <f>Table2691214203040547082981126101418[[#This Row],[KM Final]]-Table2691214203040547082981126101418[[#This Row],[KM Inicial]]</f>
        <v>1253</v>
      </c>
      <c r="F97" s="10">
        <v>358.9</v>
      </c>
      <c r="G97" s="12">
        <f>Table2691214203040547082981126101418[[#This Row],[KM Rodado]]/Table2691214203040547082981126101418[[#This Row],[Consumo Lt]]</f>
        <v>3.4912231819448318</v>
      </c>
      <c r="H97" s="18">
        <v>28.94</v>
      </c>
      <c r="I97" s="12">
        <v>2061.86</v>
      </c>
      <c r="J97" t="s">
        <v>23</v>
      </c>
      <c r="K97" s="8">
        <v>120</v>
      </c>
      <c r="M97" s="16">
        <v>46061</v>
      </c>
      <c r="N97" s="10">
        <f t="shared" si="23"/>
        <v>663515</v>
      </c>
      <c r="O97" s="10">
        <v>664674</v>
      </c>
      <c r="P97" s="10">
        <f>Table26912142030405470829811248121620[[#This Row],[KM Final]]-Table26912142030405470829811248121620[[#This Row],[KM Inicial]]</f>
        <v>1159</v>
      </c>
      <c r="Q97" s="10">
        <v>375.52</v>
      </c>
      <c r="R97" s="11">
        <f>Table26912142030405470829811248121620[[#This Row],[KM Rodado]]/Table26912142030405470829811248121620[[#This Row],[Consumo Lt]]</f>
        <v>3.0863868768640819</v>
      </c>
      <c r="S97" s="11">
        <v>15</v>
      </c>
      <c r="T97" s="12">
        <v>2063.83</v>
      </c>
      <c r="U97" t="s">
        <v>46</v>
      </c>
      <c r="V97" s="8">
        <v>230</v>
      </c>
      <c r="X97" s="72"/>
      <c r="Y97" s="16">
        <v>46085</v>
      </c>
      <c r="Z97" s="10">
        <f t="shared" si="24"/>
        <v>675620</v>
      </c>
      <c r="AA97" s="10">
        <v>677163</v>
      </c>
      <c r="AB97" s="10">
        <f>Table2691214203040547082981124812162042[[#This Row],[KM Final]]-Table2691214203040547082981124812162042[[#This Row],[KM Inicial]]</f>
        <v>1543</v>
      </c>
      <c r="AC97" s="10">
        <v>495</v>
      </c>
      <c r="AD97" s="11">
        <f>Table2691214203040547082981124812162042[[#This Row],[KM Rodado]]/Table2691214203040547082981124812162042[[#This Row],[Consumo Lt]]</f>
        <v>3.117171717171717</v>
      </c>
      <c r="AE97" s="18">
        <v>33.01</v>
      </c>
      <c r="AF97" s="12">
        <v>2874</v>
      </c>
      <c r="AG97" t="s">
        <v>62</v>
      </c>
      <c r="AH97" s="8">
        <v>3340</v>
      </c>
      <c r="AJ97" s="16">
        <v>46126</v>
      </c>
      <c r="AK97" s="10">
        <f t="shared" si="25"/>
        <v>690364</v>
      </c>
      <c r="AL97" s="10">
        <v>691879</v>
      </c>
      <c r="AM97" s="10">
        <f>Table269121420304054708298112481216204274[[#This Row],[KM Final]]-Table269121420304054708298112481216204274[[#This Row],[KM Inicial]]</f>
        <v>1515</v>
      </c>
      <c r="AN97" s="10">
        <v>566.52</v>
      </c>
      <c r="AO97" s="11">
        <f>Table269121420304054708298112481216204274[[#This Row],[KM Rodado]]/Table269121420304054708298112481216204274[[#This Row],[Consumo Lt]]</f>
        <v>2.6742215632281297</v>
      </c>
      <c r="AP97" s="18">
        <v>31.228000000000002</v>
      </c>
      <c r="AQ97" s="12">
        <v>4059.44</v>
      </c>
      <c r="AR97" t="s">
        <v>89</v>
      </c>
      <c r="AS97" s="8">
        <v>1200</v>
      </c>
      <c r="AU97" s="72"/>
      <c r="AV97" s="16">
        <v>46155</v>
      </c>
      <c r="AW97" s="10">
        <f t="shared" si="26"/>
        <v>701634</v>
      </c>
      <c r="AX97" s="10">
        <v>703132</v>
      </c>
      <c r="AY97" s="10">
        <f>Table269121420304054708298112481216204274138[[#This Row],[KM Final]]-Table269121420304054708298112481216204274138[[#This Row],[KM Inicial]]</f>
        <v>1498</v>
      </c>
      <c r="AZ97" s="10">
        <v>490.06</v>
      </c>
      <c r="BA97" s="11">
        <f>Table269121420304054708298112481216204274138[[#This Row],[KM Rodado]]/Table269121420304054708298112481216204274138[[#This Row],[Consumo Lt]]</f>
        <v>3.0567685589519651</v>
      </c>
      <c r="BB97" s="18">
        <v>29.23</v>
      </c>
      <c r="BC97" s="12">
        <v>3237.54</v>
      </c>
      <c r="BD97" t="s">
        <v>103</v>
      </c>
      <c r="BE97" s="8">
        <v>1500</v>
      </c>
      <c r="BG97" s="72"/>
      <c r="BH97" s="16">
        <v>46177</v>
      </c>
      <c r="BI97" s="10">
        <f t="shared" si="27"/>
        <v>714814</v>
      </c>
      <c r="BJ97" s="10">
        <v>715704</v>
      </c>
      <c r="BK97" s="10">
        <f>Table269121420304054708298112610141862[[#This Row],[KM Final]]-Table269121420304054708298112610141862[[#This Row],[KM Inicial]]</f>
        <v>890</v>
      </c>
      <c r="BL97" s="11">
        <v>314.79000000000002</v>
      </c>
      <c r="BM97" s="69">
        <f>Table269121420304054708298112610141862[[#This Row],[KM Rodado]]/Table269121420304054708298112610141862[[#This Row],[Consumo Lt]]</f>
        <v>2.8272816798500586</v>
      </c>
      <c r="BN97" s="11">
        <v>20.93</v>
      </c>
      <c r="BO97" s="12">
        <v>2042.19</v>
      </c>
      <c r="BP97" t="s">
        <v>62</v>
      </c>
      <c r="BQ97" s="8">
        <v>120</v>
      </c>
    </row>
    <row r="98" spans="1:69">
      <c r="A98" s="72"/>
      <c r="B98" s="16">
        <v>46032</v>
      </c>
      <c r="C98" s="10">
        <f t="shared" si="22"/>
        <v>647955</v>
      </c>
      <c r="D98" s="10">
        <v>648963</v>
      </c>
      <c r="E98" s="10">
        <f>Table2691214203040547082981126101418[[#This Row],[KM Final]]-Table2691214203040547082981126101418[[#This Row],[KM Inicial]]</f>
        <v>1008</v>
      </c>
      <c r="F98" s="10">
        <v>342.53</v>
      </c>
      <c r="G98" s="12">
        <f>Table2691214203040547082981126101418[[#This Row],[KM Rodado]]/Table2691214203040547082981126101418[[#This Row],[Consumo Lt]]</f>
        <v>2.942807929232476</v>
      </c>
      <c r="H98" s="18">
        <v>15</v>
      </c>
      <c r="I98" s="12">
        <v>1950.16</v>
      </c>
      <c r="J98" t="s">
        <v>30</v>
      </c>
      <c r="K98" s="14">
        <v>346.5</v>
      </c>
      <c r="M98" s="16">
        <v>46063</v>
      </c>
      <c r="N98" s="10">
        <f t="shared" si="23"/>
        <v>664674</v>
      </c>
      <c r="O98" s="10">
        <v>666006</v>
      </c>
      <c r="P98" s="10">
        <f>Table26912142030405470829811248121620[[#This Row],[KM Final]]-Table26912142030405470829811248121620[[#This Row],[KM Inicial]]</f>
        <v>1332</v>
      </c>
      <c r="Q98" s="10">
        <v>402.01</v>
      </c>
      <c r="R98" s="11">
        <f>Table26912142030405470829811248121620[[#This Row],[KM Rodado]]/Table26912142030405470829811248121620[[#This Row],[Consumo Lt]]</f>
        <v>3.3133504141688017</v>
      </c>
      <c r="S98" s="11">
        <v>30.12</v>
      </c>
      <c r="T98" s="12">
        <v>2311.16</v>
      </c>
      <c r="U98" t="s">
        <v>45</v>
      </c>
      <c r="V98" s="14">
        <v>310</v>
      </c>
      <c r="X98" s="72"/>
      <c r="Y98" s="16">
        <v>46092</v>
      </c>
      <c r="Z98" s="10">
        <f t="shared" si="24"/>
        <v>677163</v>
      </c>
      <c r="AA98" s="10">
        <v>678257</v>
      </c>
      <c r="AB98" s="10">
        <f>Table2691214203040547082981124812162042[[#This Row],[KM Final]]-Table2691214203040547082981124812162042[[#This Row],[KM Inicial]]</f>
        <v>1094</v>
      </c>
      <c r="AC98" s="10">
        <v>350</v>
      </c>
      <c r="AD98" s="11">
        <f>Table2691214203040547082981124812162042[[#This Row],[KM Rodado]]/Table2691214203040547082981124812162042[[#This Row],[Consumo Lt]]</f>
        <v>3.1257142857142859</v>
      </c>
      <c r="AE98" s="18"/>
      <c r="AF98" s="12">
        <v>2341.5</v>
      </c>
      <c r="AG98" t="s">
        <v>63</v>
      </c>
      <c r="AH98" s="14">
        <v>550</v>
      </c>
      <c r="AJ98" s="16">
        <v>46128</v>
      </c>
      <c r="AK98" s="10">
        <f t="shared" si="25"/>
        <v>691879</v>
      </c>
      <c r="AL98" s="10">
        <v>693377</v>
      </c>
      <c r="AM98" s="10">
        <f>Table269121420304054708298112481216204274[[#This Row],[KM Final]]-Table269121420304054708298112481216204274[[#This Row],[KM Inicial]]</f>
        <v>1498</v>
      </c>
      <c r="AN98" s="10">
        <v>473.59</v>
      </c>
      <c r="AO98" s="11">
        <f>Table269121420304054708298112481216204274[[#This Row],[KM Rodado]]/Table269121420304054708298112481216204274[[#This Row],[Consumo Lt]]</f>
        <v>3.1630735446272094</v>
      </c>
      <c r="AP98" s="18">
        <v>28.73</v>
      </c>
      <c r="AQ98" s="12">
        <v>3315.93</v>
      </c>
      <c r="AR98" t="s">
        <v>25</v>
      </c>
      <c r="AS98" s="14">
        <v>200</v>
      </c>
      <c r="AU98" s="72"/>
      <c r="AV98" s="16">
        <v>46157</v>
      </c>
      <c r="AW98" s="10">
        <f t="shared" si="26"/>
        <v>703132</v>
      </c>
      <c r="AX98" s="10">
        <v>704699</v>
      </c>
      <c r="AY98" s="10">
        <f>Table269121420304054708298112481216204274138[[#This Row],[KM Final]]-Table269121420304054708298112481216204274138[[#This Row],[KM Inicial]]</f>
        <v>1567</v>
      </c>
      <c r="AZ98" s="10">
        <v>200</v>
      </c>
      <c r="BA98" s="11">
        <f>Table269121420304054708298112481216204274138[[#This Row],[KM Rodado]]/Table269121420304054708298112481216204274138[[#This Row],[Consumo Lt]]</f>
        <v>7.835</v>
      </c>
      <c r="BB98" s="18"/>
      <c r="BC98" s="12">
        <v>1334</v>
      </c>
      <c r="BE98" s="14"/>
      <c r="BG98" s="72"/>
      <c r="BH98" s="16">
        <v>46179</v>
      </c>
      <c r="BI98" s="10">
        <f t="shared" si="27"/>
        <v>715704</v>
      </c>
      <c r="BJ98" s="10">
        <v>717182</v>
      </c>
      <c r="BK98" s="10">
        <f>Table269121420304054708298112610141862[[#This Row],[KM Final]]-Table269121420304054708298112610141862[[#This Row],[KM Inicial]]</f>
        <v>1478</v>
      </c>
      <c r="BL98" s="11">
        <v>495.06</v>
      </c>
      <c r="BM98" s="69">
        <f>Table269121420304054708298112610141862[[#This Row],[KM Rodado]]/Table269121420304054708298112610141862[[#This Row],[Consumo Lt]]</f>
        <v>2.9854967074698018</v>
      </c>
      <c r="BN98" s="11">
        <v>2.0920000000000001</v>
      </c>
      <c r="BO98" s="12">
        <v>2951.98</v>
      </c>
      <c r="BQ98" s="14"/>
    </row>
    <row r="99" spans="1:69">
      <c r="A99" s="72"/>
      <c r="B99" s="16">
        <v>46034</v>
      </c>
      <c r="C99" s="10">
        <f t="shared" si="22"/>
        <v>648963</v>
      </c>
      <c r="D99" s="10">
        <v>650422</v>
      </c>
      <c r="E99" s="10">
        <f>Table2691214203040547082981126101418[[#This Row],[KM Final]]-Table2691214203040547082981126101418[[#This Row],[KM Inicial]]</f>
        <v>1459</v>
      </c>
      <c r="F99" s="10">
        <v>436.98</v>
      </c>
      <c r="G99" s="12">
        <f>Table2691214203040547082981126101418[[#This Row],[KM Rodado]]/Table2691214203040547082981126101418[[#This Row],[Consumo Lt]]</f>
        <v>3.3388255755412146</v>
      </c>
      <c r="H99" s="18">
        <v>31.87</v>
      </c>
      <c r="I99" s="12">
        <v>2577.4899999999998</v>
      </c>
      <c r="K99" s="8"/>
      <c r="M99" s="16">
        <v>46066</v>
      </c>
      <c r="N99" s="10">
        <f t="shared" si="23"/>
        <v>666006</v>
      </c>
      <c r="O99" s="10">
        <v>668031</v>
      </c>
      <c r="P99" s="10">
        <f>Table26912142030405470829811248121620[[#This Row],[KM Final]]-Table26912142030405470829811248121620[[#This Row],[KM Inicial]]</f>
        <v>2025</v>
      </c>
      <c r="Q99" s="10">
        <v>655.83</v>
      </c>
      <c r="R99" s="11">
        <f>Table26912142030405470829811248121620[[#This Row],[KM Rodado]]/Table26912142030405470829811248121620[[#This Row],[Consumo Lt]]</f>
        <v>3.0876904075751335</v>
      </c>
      <c r="S99" s="11">
        <v>43.73</v>
      </c>
      <c r="T99" s="12">
        <v>3735.63</v>
      </c>
      <c r="U99" t="s">
        <v>23</v>
      </c>
      <c r="V99" s="8">
        <v>120</v>
      </c>
      <c r="X99" s="72"/>
      <c r="Y99" s="16">
        <v>46094</v>
      </c>
      <c r="Z99" s="10">
        <f t="shared" si="24"/>
        <v>678257</v>
      </c>
      <c r="AA99" s="10">
        <v>680014</v>
      </c>
      <c r="AB99" s="10">
        <f>Table2691214203040547082981124812162042[[#This Row],[KM Final]]-Table2691214203040547082981124812162042[[#This Row],[KM Inicial]]</f>
        <v>1757</v>
      </c>
      <c r="AC99" s="10">
        <v>545</v>
      </c>
      <c r="AD99" s="11">
        <f>Table2691214203040547082981124812162042[[#This Row],[KM Rodado]]/Table2691214203040547082981124812162042[[#This Row],[Consumo Lt]]</f>
        <v>3.2238532110091742</v>
      </c>
      <c r="AE99" s="18">
        <v>50.05</v>
      </c>
      <c r="AF99" s="12">
        <v>3312.4</v>
      </c>
      <c r="AG99" t="s">
        <v>64</v>
      </c>
      <c r="AH99" s="8">
        <v>345</v>
      </c>
      <c r="AJ99" s="16">
        <v>46132</v>
      </c>
      <c r="AK99" s="10">
        <f t="shared" si="25"/>
        <v>693377</v>
      </c>
      <c r="AL99" s="10">
        <v>694849</v>
      </c>
      <c r="AM99" s="10">
        <f>Table269121420304054708298112481216204274[[#This Row],[KM Final]]-Table269121420304054708298112481216204274[[#This Row],[KM Inicial]]</f>
        <v>1472</v>
      </c>
      <c r="AN99" s="10">
        <v>200</v>
      </c>
      <c r="AO99" s="11">
        <f>Table269121420304054708298112481216204274[[#This Row],[KM Rodado]]/Table269121420304054708298112481216204274[[#This Row],[Consumo Lt]]</f>
        <v>7.36</v>
      </c>
      <c r="AP99" s="18"/>
      <c r="AQ99" s="12">
        <v>1388</v>
      </c>
      <c r="AR99" t="s">
        <v>95</v>
      </c>
      <c r="AS99" s="8">
        <v>370</v>
      </c>
      <c r="AU99" s="72"/>
      <c r="AV99" s="16">
        <v>46158</v>
      </c>
      <c r="AW99" s="10">
        <f t="shared" si="26"/>
        <v>704699</v>
      </c>
      <c r="AX99" s="10">
        <v>705076</v>
      </c>
      <c r="AY99" s="10">
        <f>Table269121420304054708298112481216204274138[[#This Row],[KM Final]]-Table269121420304054708298112481216204274138[[#This Row],[KM Inicial]]</f>
        <v>377</v>
      </c>
      <c r="AZ99" s="10">
        <v>440</v>
      </c>
      <c r="BA99" s="11">
        <f>Table269121420304054708298112481216204274138[[#This Row],[KM Rodado]]/Table269121420304054708298112481216204274138[[#This Row],[Consumo Lt]]</f>
        <v>0.85681818181818181</v>
      </c>
      <c r="BB99" s="18">
        <v>38</v>
      </c>
      <c r="BC99" s="12">
        <v>2939.62</v>
      </c>
      <c r="BE99" s="8"/>
      <c r="BG99" s="72"/>
      <c r="BH99" s="16">
        <v>46180</v>
      </c>
      <c r="BI99" s="10">
        <f t="shared" si="27"/>
        <v>717182</v>
      </c>
      <c r="BJ99" s="10">
        <v>718148</v>
      </c>
      <c r="BK99" s="10">
        <f>Table269121420304054708298112610141862[[#This Row],[KM Final]]-Table269121420304054708298112610141862[[#This Row],[KM Inicial]]</f>
        <v>966</v>
      </c>
      <c r="BL99" s="11">
        <v>278.17</v>
      </c>
      <c r="BM99" s="69">
        <f>Table269121420304054708298112610141862[[#This Row],[KM Rodado]]/Table269121420304054708298112610141862[[#This Row],[Consumo Lt]]</f>
        <v>3.472696552467915</v>
      </c>
      <c r="BN99" s="11"/>
      <c r="BO99" s="12">
        <v>1654.2</v>
      </c>
      <c r="BQ99" s="8"/>
    </row>
    <row r="100" spans="1:69">
      <c r="A100" s="72"/>
      <c r="B100" s="16">
        <v>46036</v>
      </c>
      <c r="C100" s="10">
        <f t="shared" si="22"/>
        <v>650422</v>
      </c>
      <c r="D100" s="10">
        <v>651658</v>
      </c>
      <c r="E100" s="10">
        <f>Table2691214203040547082981126101418[[#This Row],[KM Final]]-Table2691214203040547082981126101418[[#This Row],[KM Inicial]]</f>
        <v>1236</v>
      </c>
      <c r="F100" s="10">
        <v>430.29</v>
      </c>
      <c r="G100" s="12">
        <f>Table2691214203040547082981126101418[[#This Row],[KM Rodado]]/Table2691214203040547082981126101418[[#This Row],[Consumo Lt]]</f>
        <v>2.8724813497873525</v>
      </c>
      <c r="H100" s="18">
        <v>27.61</v>
      </c>
      <c r="I100" s="12">
        <v>2476.88</v>
      </c>
      <c r="K100" s="8"/>
      <c r="M100" s="38">
        <v>46070</v>
      </c>
      <c r="N100" s="10">
        <f t="shared" si="23"/>
        <v>668031</v>
      </c>
      <c r="O100" s="39">
        <v>669383</v>
      </c>
      <c r="P100" s="10">
        <f>Table26912142030405470829811248121620[[#This Row],[KM Final]]-Table26912142030405470829811248121620[[#This Row],[KM Inicial]]</f>
        <v>1352</v>
      </c>
      <c r="Q100" s="39">
        <v>452</v>
      </c>
      <c r="R100" s="11">
        <f>Table26912142030405470829811248121620[[#This Row],[KM Rodado]]/Table26912142030405470829811248121620[[#This Row],[Consumo Lt]]</f>
        <v>2.9911504424778763</v>
      </c>
      <c r="S100" s="11">
        <v>20</v>
      </c>
      <c r="T100" s="40">
        <v>2546.3200000000002</v>
      </c>
      <c r="U100" t="s">
        <v>44</v>
      </c>
      <c r="V100" s="8">
        <v>668</v>
      </c>
      <c r="X100" s="72"/>
      <c r="Y100" s="38">
        <v>46097</v>
      </c>
      <c r="Z100" s="10">
        <f t="shared" si="24"/>
        <v>680014</v>
      </c>
      <c r="AA100" s="39">
        <v>680958</v>
      </c>
      <c r="AB100" s="10">
        <f>Table2691214203040547082981124812162042[[#This Row],[KM Final]]-Table2691214203040547082981124812162042[[#This Row],[KM Inicial]]</f>
        <v>944</v>
      </c>
      <c r="AC100" s="39">
        <v>310.23</v>
      </c>
      <c r="AD100" s="11">
        <f>Table2691214203040547082981124812162042[[#This Row],[KM Rodado]]/Table2691214203040547082981124812162042[[#This Row],[Consumo Lt]]</f>
        <v>3.0429036521290653</v>
      </c>
      <c r="AE100" s="18">
        <v>18.010000000000002</v>
      </c>
      <c r="AF100" s="40">
        <v>2166.02</v>
      </c>
      <c r="AH100" s="8"/>
      <c r="AJ100" s="38">
        <v>46133</v>
      </c>
      <c r="AK100" s="10">
        <f t="shared" si="25"/>
        <v>694849</v>
      </c>
      <c r="AL100" s="39">
        <v>699508</v>
      </c>
      <c r="AM100" s="10">
        <f>Table269121420304054708298112481216204274[[#This Row],[KM Final]]-Table269121420304054708298112481216204274[[#This Row],[KM Inicial]]</f>
        <v>4659</v>
      </c>
      <c r="AN100" s="39">
        <v>587.69000000000005</v>
      </c>
      <c r="AO100" s="11">
        <f>Table269121420304054708298112481216204274[[#This Row],[KM Rodado]]/Table269121420304054708298112481216204274[[#This Row],[Consumo Lt]]</f>
        <v>7.9276489305586271</v>
      </c>
      <c r="AP100" s="18">
        <v>37.97</v>
      </c>
      <c r="AQ100" s="40">
        <v>4511.5</v>
      </c>
      <c r="AR100" t="s">
        <v>27</v>
      </c>
      <c r="AS100" s="8">
        <v>80</v>
      </c>
      <c r="AU100" s="72"/>
      <c r="AV100" s="38">
        <v>46162</v>
      </c>
      <c r="AW100" s="10">
        <f t="shared" si="26"/>
        <v>705076</v>
      </c>
      <c r="AX100" s="39">
        <v>706925</v>
      </c>
      <c r="AY100" s="10">
        <f>Table269121420304054708298112481216204274138[[#This Row],[KM Final]]-Table269121420304054708298112481216204274138[[#This Row],[KM Inicial]]</f>
        <v>1849</v>
      </c>
      <c r="AZ100" s="39">
        <v>663</v>
      </c>
      <c r="BA100" s="11">
        <f>Table269121420304054708298112481216204274138[[#This Row],[KM Rodado]]/Table269121420304054708298112481216204274138[[#This Row],[Consumo Lt]]</f>
        <v>2.788838612368024</v>
      </c>
      <c r="BB100" s="18">
        <v>37.409999999999997</v>
      </c>
      <c r="BC100" s="40">
        <v>4518.45</v>
      </c>
      <c r="BE100" s="8"/>
      <c r="BG100" s="72"/>
      <c r="BH100" s="16">
        <v>46182</v>
      </c>
      <c r="BI100" s="10">
        <f t="shared" si="27"/>
        <v>718148</v>
      </c>
      <c r="BJ100" s="10">
        <v>719343</v>
      </c>
      <c r="BK100" s="10">
        <f>Table269121420304054708298112610141862[[#This Row],[KM Final]]-Table269121420304054708298112610141862[[#This Row],[KM Inicial]]</f>
        <v>1195</v>
      </c>
      <c r="BL100" s="11">
        <v>425</v>
      </c>
      <c r="BM100" s="69">
        <f>Table269121420304054708298112610141862[[#This Row],[KM Rodado]]/Table269121420304054708298112610141862[[#This Row],[Consumo Lt]]</f>
        <v>2.8117647058823527</v>
      </c>
      <c r="BN100" s="11">
        <v>41.61</v>
      </c>
      <c r="BO100" s="12">
        <v>2780.69</v>
      </c>
      <c r="BQ100" s="8"/>
    </row>
    <row r="101" spans="1:69">
      <c r="A101" s="72"/>
      <c r="B101" s="16">
        <v>46038</v>
      </c>
      <c r="C101" s="10">
        <f t="shared" si="22"/>
        <v>651658</v>
      </c>
      <c r="D101" s="10">
        <v>652829</v>
      </c>
      <c r="E101" s="10">
        <f>Table2691214203040547082981126101418[[#This Row],[KM Final]]-Table2691214203040547082981126101418[[#This Row],[KM Inicial]]</f>
        <v>1171</v>
      </c>
      <c r="F101" s="10">
        <v>390</v>
      </c>
      <c r="G101" s="12">
        <f>Table2691214203040547082981126101418[[#This Row],[KM Rodado]]/Table2691214203040547082981126101418[[#This Row],[Consumo Lt]]</f>
        <v>3.0025641025641026</v>
      </c>
      <c r="H101" s="18">
        <v>15</v>
      </c>
      <c r="I101" s="12">
        <v>2177.6999999999998</v>
      </c>
      <c r="K101" s="8"/>
      <c r="M101" s="38">
        <v>46073</v>
      </c>
      <c r="N101" s="10">
        <f t="shared" si="23"/>
        <v>669383</v>
      </c>
      <c r="O101" s="39">
        <v>670336</v>
      </c>
      <c r="P101" s="10">
        <f>Table26912142030405470829811248121620[[#This Row],[KM Final]]-Table26912142030405470829811248121620[[#This Row],[KM Inicial]]</f>
        <v>953</v>
      </c>
      <c r="Q101" s="39">
        <v>380</v>
      </c>
      <c r="R101" s="11">
        <f>Table26912142030405470829811248121620[[#This Row],[KM Rodado]]/Table26912142030405470829811248121620[[#This Row],[Consumo Lt]]</f>
        <v>2.5078947368421054</v>
      </c>
      <c r="S101" s="11">
        <v>39.07</v>
      </c>
      <c r="T101" s="40">
        <v>2240.64</v>
      </c>
      <c r="U101" t="s">
        <v>43</v>
      </c>
      <c r="V101" s="8">
        <v>55</v>
      </c>
      <c r="X101" s="72"/>
      <c r="Y101" s="38">
        <v>46098</v>
      </c>
      <c r="Z101" s="10">
        <f t="shared" si="24"/>
        <v>680958</v>
      </c>
      <c r="AA101" s="39">
        <v>682419</v>
      </c>
      <c r="AB101" s="10">
        <f>Table2691214203040547082981124812162042[[#This Row],[KM Final]]-Table2691214203040547082981124812162042[[#This Row],[KM Inicial]]</f>
        <v>1461</v>
      </c>
      <c r="AC101" s="39">
        <v>300</v>
      </c>
      <c r="AD101" s="11">
        <f>Table2691214203040547082981124812162042[[#This Row],[KM Rodado]]/Table2691214203040547082981124812162042[[#This Row],[Consumo Lt]]</f>
        <v>4.87</v>
      </c>
      <c r="AE101" s="18"/>
      <c r="AF101" s="40">
        <v>1510</v>
      </c>
      <c r="AH101" s="8"/>
      <c r="AJ101" s="38">
        <v>46137</v>
      </c>
      <c r="AK101" s="10">
        <f t="shared" si="25"/>
        <v>699508</v>
      </c>
      <c r="AL101" s="6">
        <v>697184</v>
      </c>
      <c r="AM101" s="10">
        <f>Table269121420304054708298112481216204274[[#This Row],[KM Final]]-Table269121420304054708298112481216204274[[#This Row],[KM Inicial]]</f>
        <v>-2324</v>
      </c>
      <c r="AN101" s="39">
        <v>463.63</v>
      </c>
      <c r="AO101" s="11">
        <f>Table269121420304054708298112481216204274[[#This Row],[KM Rodado]]/Table269121420304054708298112481216204274[[#This Row],[Consumo Lt]]</f>
        <v>-5.0126178202445919</v>
      </c>
      <c r="AP101" s="18">
        <v>20.03</v>
      </c>
      <c r="AQ101" s="40">
        <v>3188.68</v>
      </c>
      <c r="AS101" s="8"/>
      <c r="AU101" s="72"/>
      <c r="AV101" s="38">
        <v>46164</v>
      </c>
      <c r="AW101" s="10">
        <f t="shared" si="26"/>
        <v>706925</v>
      </c>
      <c r="AX101" s="10">
        <v>708104</v>
      </c>
      <c r="AY101" s="10">
        <f>Table269121420304054708298112481216204274138[[#This Row],[KM Final]]-Table269121420304054708298112481216204274138[[#This Row],[KM Inicial]]</f>
        <v>1179</v>
      </c>
      <c r="AZ101" s="39">
        <v>405.01</v>
      </c>
      <c r="BA101" s="11">
        <f>Table269121420304054708298112481216204274138[[#This Row],[KM Rodado]]/Table269121420304054708298112481216204274138[[#This Row],[Consumo Lt]]</f>
        <v>2.9110392335991704</v>
      </c>
      <c r="BB101" s="18">
        <v>26.25</v>
      </c>
      <c r="BC101" s="40">
        <v>2746.56</v>
      </c>
      <c r="BE101" s="8"/>
      <c r="BG101" s="72"/>
      <c r="BH101" s="16">
        <v>46184</v>
      </c>
      <c r="BI101" s="10">
        <f t="shared" si="27"/>
        <v>719343</v>
      </c>
      <c r="BJ101" s="10">
        <v>720636</v>
      </c>
      <c r="BK101" s="10">
        <f>Table269121420304054708298112610141862[[#This Row],[KM Final]]-Table269121420304054708298112610141862[[#This Row],[KM Inicial]]</f>
        <v>1293</v>
      </c>
      <c r="BL101" s="11">
        <v>454.38</v>
      </c>
      <c r="BM101" s="69">
        <f>Table269121420304054708298112610141862[[#This Row],[KM Rodado]]/Table269121420304054708298112610141862[[#This Row],[Consumo Lt]]</f>
        <v>2.8456358114353626</v>
      </c>
      <c r="BN101" s="11">
        <v>21</v>
      </c>
      <c r="BO101" s="12">
        <v>2790</v>
      </c>
      <c r="BQ101" s="8"/>
    </row>
    <row r="102" spans="1:69">
      <c r="A102" s="72"/>
      <c r="B102" s="16">
        <v>46039</v>
      </c>
      <c r="C102" s="10">
        <f t="shared" si="22"/>
        <v>652829</v>
      </c>
      <c r="D102" s="10">
        <v>654102</v>
      </c>
      <c r="E102" s="10">
        <f>Table2691214203040547082981126101418[[#This Row],[KM Final]]-Table2691214203040547082981126101418[[#This Row],[KM Inicial]]</f>
        <v>1273</v>
      </c>
      <c r="F102" s="10">
        <v>410.05</v>
      </c>
      <c r="G102" s="12">
        <f>Table2691214203040547082981126101418[[#This Row],[KM Rodado]]/Table2691214203040547082981126101418[[#This Row],[Consumo Lt]]</f>
        <v>3.1044994512864283</v>
      </c>
      <c r="H102" s="18">
        <v>29</v>
      </c>
      <c r="I102" s="12">
        <v>2289.9299999999998</v>
      </c>
      <c r="K102" s="8"/>
      <c r="M102" s="38">
        <v>46076</v>
      </c>
      <c r="N102" s="39">
        <f t="shared" si="23"/>
        <v>670336</v>
      </c>
      <c r="O102" s="39">
        <v>671874</v>
      </c>
      <c r="P102" s="10">
        <f>Table26912142030405470829811248121620[[#This Row],[KM Final]]-Table26912142030405470829811248121620[[#This Row],[KM Inicial]]</f>
        <v>1538</v>
      </c>
      <c r="Q102" s="39">
        <v>525.01</v>
      </c>
      <c r="R102" s="11">
        <f>Table26912142030405470829811248121620[[#This Row],[KM Rodado]]/Table26912142030405470829811248121620[[#This Row],[Consumo Lt]]</f>
        <v>2.9294680101331405</v>
      </c>
      <c r="S102" s="11">
        <v>30.01</v>
      </c>
      <c r="T102" s="40">
        <v>2984.33</v>
      </c>
      <c r="U102" t="s">
        <v>42</v>
      </c>
      <c r="V102" s="8">
        <v>126</v>
      </c>
      <c r="X102" s="72"/>
      <c r="Y102" s="38">
        <v>46099</v>
      </c>
      <c r="Z102" s="39">
        <f t="shared" si="24"/>
        <v>682419</v>
      </c>
      <c r="AA102" s="39">
        <v>682603</v>
      </c>
      <c r="AB102" s="10">
        <f>Table2691214203040547082981124812162042[[#This Row],[KM Final]]-Table2691214203040547082981124812162042[[#This Row],[KM Inicial]]</f>
        <v>184</v>
      </c>
      <c r="AC102" s="39">
        <v>200</v>
      </c>
      <c r="AD102" s="11">
        <f>Table2691214203040547082981124812162042[[#This Row],[KM Rodado]]/Table2691214203040547082981124812162042[[#This Row],[Consumo Lt]]</f>
        <v>0.92</v>
      </c>
      <c r="AE102" s="18"/>
      <c r="AF102" s="40">
        <v>1418</v>
      </c>
      <c r="AH102" s="8"/>
      <c r="AJ102" s="58">
        <v>46140</v>
      </c>
      <c r="AK102" s="15">
        <f t="shared" si="25"/>
        <v>697184</v>
      </c>
      <c r="AL102" s="15">
        <v>699869</v>
      </c>
      <c r="AM102" s="10">
        <f>Table269121420304054708298112481216204274[[#This Row],[KM Final]]-Table269121420304054708298112481216204274[[#This Row],[KM Inicial]]</f>
        <v>2685</v>
      </c>
      <c r="AN102" s="39">
        <v>108.25</v>
      </c>
      <c r="AO102" s="11">
        <f>Table269121420304054708298112481216204274[[#This Row],[KM Rodado]]/Table269121420304054708298112481216204274[[#This Row],[Consumo Lt]]</f>
        <v>24.803695150115473</v>
      </c>
      <c r="AP102" s="18"/>
      <c r="AQ102" s="40">
        <v>800</v>
      </c>
      <c r="AS102" s="8"/>
      <c r="AU102" s="72"/>
      <c r="AV102" s="38">
        <v>46165</v>
      </c>
      <c r="AW102" s="39">
        <f t="shared" si="26"/>
        <v>708104</v>
      </c>
      <c r="AX102" s="39">
        <v>709311</v>
      </c>
      <c r="AY102" s="10">
        <f>Table269121420304054708298112481216204274138[[#This Row],[KM Final]]-Table269121420304054708298112481216204274138[[#This Row],[KM Inicial]]</f>
        <v>1207</v>
      </c>
      <c r="AZ102" s="39">
        <v>403.23</v>
      </c>
      <c r="BA102" s="11">
        <f>Table269121420304054708298112481216204274138[[#This Row],[KM Rodado]]/Table269121420304054708298112481216204274138[[#This Row],[Consumo Lt]]</f>
        <v>2.9933288693797584</v>
      </c>
      <c r="BB102" s="18"/>
      <c r="BC102" s="40">
        <v>2637.12</v>
      </c>
      <c r="BE102" s="8"/>
      <c r="BG102" s="72"/>
      <c r="BH102" s="16">
        <v>46188</v>
      </c>
      <c r="BI102" s="10">
        <f t="shared" si="27"/>
        <v>720636</v>
      </c>
      <c r="BJ102" s="10">
        <v>721855</v>
      </c>
      <c r="BK102" s="10">
        <f>Table269121420304054708298112610141862[[#This Row],[KM Final]]-Table269121420304054708298112610141862[[#This Row],[KM Inicial]]</f>
        <v>1219</v>
      </c>
      <c r="BL102" s="11">
        <v>421.01</v>
      </c>
      <c r="BM102" s="69">
        <f>Table269121420304054708298112610141862[[#This Row],[KM Rodado]]/Table269121420304054708298112610141862[[#This Row],[Consumo Lt]]</f>
        <v>2.8954181610888101</v>
      </c>
      <c r="BN102" s="11">
        <v>23.89</v>
      </c>
      <c r="BO102" s="12">
        <v>2792.15</v>
      </c>
      <c r="BQ102" s="8"/>
    </row>
    <row r="103" spans="1:69">
      <c r="A103" s="72"/>
      <c r="B103" s="16">
        <v>46041</v>
      </c>
      <c r="C103" s="10">
        <f t="shared" si="22"/>
        <v>654102</v>
      </c>
      <c r="D103" s="10">
        <v>654831</v>
      </c>
      <c r="E103" s="10">
        <f>Table2691214203040547082981126101418[[#This Row],[KM Final]]-Table2691214203040547082981126101418[[#This Row],[KM Inicial]]</f>
        <v>729</v>
      </c>
      <c r="F103" s="10">
        <v>217.7</v>
      </c>
      <c r="G103" s="12">
        <f>Table2691214203040547082981126101418[[#This Row],[KM Rodado]]/Table2691214203040547082981126101418[[#This Row],[Consumo Lt]]</f>
        <v>3.3486449242076253</v>
      </c>
      <c r="H103" s="18">
        <v>15.66</v>
      </c>
      <c r="I103" s="12">
        <v>1245.44</v>
      </c>
      <c r="K103" s="8"/>
      <c r="M103" s="38">
        <v>46079</v>
      </c>
      <c r="N103" s="39">
        <f t="shared" si="23"/>
        <v>671874</v>
      </c>
      <c r="O103" s="39">
        <v>673586</v>
      </c>
      <c r="P103" s="10">
        <f>Table26912142030405470829811248121620[[#This Row],[KM Final]]-Table26912142030405470829811248121620[[#This Row],[KM Inicial]]</f>
        <v>1712</v>
      </c>
      <c r="Q103" s="39">
        <v>577.53</v>
      </c>
      <c r="R103" s="11">
        <f>Table26912142030405470829811248121620[[#This Row],[KM Rodado]]/Table26912142030405470829811248121620[[#This Row],[Consumo Lt]]</f>
        <v>2.9643481723893133</v>
      </c>
      <c r="S103" s="11">
        <v>37.18</v>
      </c>
      <c r="T103" s="40">
        <v>3265.27</v>
      </c>
      <c r="U103" t="s">
        <v>47</v>
      </c>
      <c r="V103" s="8">
        <v>150</v>
      </c>
      <c r="X103" s="72"/>
      <c r="Y103" s="38">
        <v>46103</v>
      </c>
      <c r="Z103" s="39">
        <f t="shared" si="24"/>
        <v>682603</v>
      </c>
      <c r="AA103" s="39">
        <v>683536</v>
      </c>
      <c r="AB103" s="10">
        <f>Table2691214203040547082981124812162042[[#This Row],[KM Final]]-Table2691214203040547082981124812162042[[#This Row],[KM Inicial]]</f>
        <v>933</v>
      </c>
      <c r="AC103" s="39">
        <v>460</v>
      </c>
      <c r="AD103" s="11">
        <f>Table2691214203040547082981124812162042[[#This Row],[KM Rodado]]/Table2691214203040547082981124812162042[[#This Row],[Consumo Lt]]</f>
        <v>2.0282608695652176</v>
      </c>
      <c r="AE103" s="18">
        <v>20</v>
      </c>
      <c r="AF103" s="40">
        <v>3138.12</v>
      </c>
      <c r="AH103" s="8"/>
      <c r="AJ103" s="58">
        <v>46141</v>
      </c>
      <c r="AK103" s="15">
        <f t="shared" si="25"/>
        <v>699869</v>
      </c>
      <c r="AL103" s="15">
        <v>699075</v>
      </c>
      <c r="AM103" s="10">
        <f>Table269121420304054708298112481216204274[[#This Row],[KM Final]]-Table269121420304054708298112481216204274[[#This Row],[KM Inicial]]</f>
        <v>-794</v>
      </c>
      <c r="AN103" s="39">
        <v>543.13300000000004</v>
      </c>
      <c r="AO103" s="11">
        <f>Table269121420304054708298112481216204274[[#This Row],[KM Rodado]]/Table269121420304054708298112481216204274[[#This Row],[Consumo Lt]]</f>
        <v>-1.4618887086588366</v>
      </c>
      <c r="AP103" s="18">
        <v>41.64</v>
      </c>
      <c r="AQ103" s="40">
        <v>3714.23</v>
      </c>
      <c r="AS103" s="8"/>
      <c r="AU103" s="72"/>
      <c r="AV103" s="16">
        <v>46168</v>
      </c>
      <c r="AW103" s="10">
        <f t="shared" si="26"/>
        <v>709311</v>
      </c>
      <c r="AX103" s="10">
        <v>710765</v>
      </c>
      <c r="AY103" s="10">
        <f>Table269121420304054708298112481216204274138[[#This Row],[KM Final]]-Table269121420304054708298112481216204274138[[#This Row],[KM Inicial]]</f>
        <v>1454</v>
      </c>
      <c r="AZ103" s="10">
        <v>492.04</v>
      </c>
      <c r="BA103" s="11">
        <f>Table269121420304054708298112481216204274138[[#This Row],[KM Rodado]]/Table269121420304054708298112481216204274138[[#This Row],[Consumo Lt]]</f>
        <v>2.9550443053410289</v>
      </c>
      <c r="BB103" s="11">
        <v>47.17</v>
      </c>
      <c r="BC103" s="12">
        <v>3193.1</v>
      </c>
      <c r="BE103" s="8"/>
      <c r="BG103" s="72"/>
      <c r="BH103" s="16">
        <v>46190</v>
      </c>
      <c r="BI103" s="10">
        <f t="shared" si="27"/>
        <v>721855</v>
      </c>
      <c r="BJ103" s="10">
        <v>722884</v>
      </c>
      <c r="BK103" s="10">
        <f>Table269121420304054708298112610141862[[#This Row],[KM Final]]-Table269121420304054708298112610141862[[#This Row],[KM Inicial]]</f>
        <v>1029</v>
      </c>
      <c r="BL103" s="11">
        <v>359.66</v>
      </c>
      <c r="BM103" s="69">
        <f>Table269121420304054708298112610141862[[#This Row],[KM Rodado]]/Table269121420304054708298112610141862[[#This Row],[Consumo Lt]]</f>
        <v>2.8610354223433241</v>
      </c>
      <c r="BN103" s="11"/>
      <c r="BO103" s="12">
        <v>2334.12</v>
      </c>
      <c r="BQ103" s="8"/>
    </row>
    <row r="104" spans="1:69">
      <c r="A104" s="72"/>
      <c r="B104" s="16">
        <v>46043</v>
      </c>
      <c r="C104" s="10">
        <f t="shared" si="22"/>
        <v>654831</v>
      </c>
      <c r="D104" s="10">
        <v>656550</v>
      </c>
      <c r="E104" s="10">
        <f>Table2691214203040547082981126101418[[#This Row],[KM Final]]-Table2691214203040547082981126101418[[#This Row],[KM Inicial]]</f>
        <v>1719</v>
      </c>
      <c r="F104" s="10">
        <v>579.94000000000005</v>
      </c>
      <c r="G104" s="12">
        <f>Table2691214203040547082981126101418[[#This Row],[KM Rodado]]/Table2691214203040547082981126101418[[#This Row],[Consumo Lt]]</f>
        <v>2.9640997344552882</v>
      </c>
      <c r="H104" s="18">
        <v>7.74</v>
      </c>
      <c r="I104" s="12">
        <v>3257.65</v>
      </c>
      <c r="K104" s="8"/>
      <c r="M104" s="38"/>
      <c r="N104" s="15">
        <f t="shared" si="23"/>
        <v>673586</v>
      </c>
      <c r="O104" s="39"/>
      <c r="P104" s="10"/>
      <c r="Q104" s="39"/>
      <c r="R104" s="11"/>
      <c r="S104" s="11"/>
      <c r="T104" s="40"/>
      <c r="U104" t="s">
        <v>48</v>
      </c>
      <c r="V104" s="8">
        <v>300</v>
      </c>
      <c r="X104" s="72"/>
      <c r="Y104" s="38">
        <v>46105</v>
      </c>
      <c r="Z104" s="39">
        <f t="shared" si="24"/>
        <v>683536</v>
      </c>
      <c r="AA104" s="39">
        <v>684822</v>
      </c>
      <c r="AB104" s="10">
        <f>Table2691214203040547082981124812162042[[#This Row],[KM Final]]-Table2691214203040547082981124812162042[[#This Row],[KM Inicial]]</f>
        <v>1286</v>
      </c>
      <c r="AC104" s="39">
        <v>478</v>
      </c>
      <c r="AD104" s="11">
        <f>Table2691214203040547082981124812162042[[#This Row],[KM Rodado]]/Table2691214203040547082981124812162042[[#This Row],[Consumo Lt]]</f>
        <v>2.6903765690376571</v>
      </c>
      <c r="AE104" s="18">
        <v>32.65</v>
      </c>
      <c r="AF104" s="40">
        <v>3532.42</v>
      </c>
      <c r="AH104" s="8"/>
      <c r="AJ104" s="38"/>
      <c r="AK104" s="15">
        <f t="shared" si="25"/>
        <v>699075</v>
      </c>
      <c r="AL104" s="39"/>
      <c r="AM104" s="10"/>
      <c r="AN104" s="39"/>
      <c r="AO104" s="11"/>
      <c r="AP104" s="18"/>
      <c r="AQ104" s="40"/>
      <c r="AS104" s="8"/>
      <c r="AU104" s="72"/>
      <c r="AV104" s="16">
        <v>46171</v>
      </c>
      <c r="AW104" s="10">
        <f t="shared" si="26"/>
        <v>710765</v>
      </c>
      <c r="AX104" s="10">
        <v>712370</v>
      </c>
      <c r="AY104" s="10">
        <f>Table269121420304054708298112481216204274138[[#This Row],[KM Final]]-Table269121420304054708298112481216204274138[[#This Row],[KM Inicial]]</f>
        <v>1605</v>
      </c>
      <c r="AZ104" s="10">
        <v>150</v>
      </c>
      <c r="BA104" s="11">
        <f>Table269121420304054708298112481216204274138[[#This Row],[KM Rodado]]/Table269121420304054708298112481216204274138[[#This Row],[Consumo Lt]]</f>
        <v>10.7</v>
      </c>
      <c r="BB104" s="11"/>
      <c r="BC104" s="12">
        <v>1000.55</v>
      </c>
      <c r="BE104" s="8"/>
      <c r="BG104" s="72"/>
      <c r="BH104" s="16">
        <v>46196</v>
      </c>
      <c r="BI104" s="10">
        <f t="shared" si="27"/>
        <v>722884</v>
      </c>
      <c r="BJ104" s="10">
        <v>723888</v>
      </c>
      <c r="BK104" s="10">
        <f>Table269121420304054708298112610141862[[#This Row],[KM Final]]-Table269121420304054708298112610141862[[#This Row],[KM Inicial]]</f>
        <v>1004</v>
      </c>
      <c r="BL104" s="11">
        <v>410.76</v>
      </c>
      <c r="BM104" s="69">
        <f>Table269121420304054708298112610141862[[#This Row],[KM Rodado]]/Table269121420304054708298112610141862[[#This Row],[Consumo Lt]]</f>
        <v>2.4442496835134873</v>
      </c>
      <c r="BN104" s="11">
        <v>20</v>
      </c>
      <c r="BO104" s="12">
        <v>2718.71</v>
      </c>
      <c r="BQ104" s="8"/>
    </row>
    <row r="105" spans="1:69">
      <c r="A105" s="72"/>
      <c r="B105" s="16">
        <v>46046</v>
      </c>
      <c r="C105" s="10">
        <f t="shared" si="22"/>
        <v>656550</v>
      </c>
      <c r="D105" s="10">
        <v>657547</v>
      </c>
      <c r="E105" s="10">
        <f>Table2691214203040547082981126101418[[#This Row],[KM Final]]-Table2691214203040547082981126101418[[#This Row],[KM Inicial]]</f>
        <v>997</v>
      </c>
      <c r="F105" s="10">
        <v>351.03</v>
      </c>
      <c r="G105" s="12">
        <f>Table2691214203040547082981126101418[[#This Row],[KM Rodado]]/Table2691214203040547082981126101418[[#This Row],[Consumo Lt]]</f>
        <v>2.8402130872005245</v>
      </c>
      <c r="H105" s="18">
        <v>40</v>
      </c>
      <c r="I105" s="12">
        <v>2004.39</v>
      </c>
      <c r="K105" s="8"/>
      <c r="M105" s="38"/>
      <c r="N105" s="39"/>
      <c r="O105" s="39"/>
      <c r="P105" s="10"/>
      <c r="Q105" s="39"/>
      <c r="R105" s="11"/>
      <c r="S105" s="11"/>
      <c r="T105" s="40"/>
      <c r="U105" t="s">
        <v>49</v>
      </c>
      <c r="V105" s="8">
        <v>420</v>
      </c>
      <c r="X105" s="72"/>
      <c r="Y105" s="38">
        <v>46108</v>
      </c>
      <c r="Z105" s="39">
        <f t="shared" si="24"/>
        <v>684822</v>
      </c>
      <c r="AA105" s="39">
        <v>686121</v>
      </c>
      <c r="AB105" s="10">
        <f>Table2691214203040547082981124812162042[[#This Row],[KM Final]]-Table2691214203040547082981124812162042[[#This Row],[KM Inicial]]</f>
        <v>1299</v>
      </c>
      <c r="AC105" s="39">
        <v>479</v>
      </c>
      <c r="AD105" s="11">
        <f>Table2691214203040547082981124812162042[[#This Row],[KM Rodado]]/Table2691214203040547082981124812162042[[#This Row],[Consumo Lt]]</f>
        <v>2.7118997912317329</v>
      </c>
      <c r="AE105" s="18">
        <v>20.6</v>
      </c>
      <c r="AF105" s="40">
        <v>3268.26</v>
      </c>
      <c r="AH105" s="8"/>
      <c r="AJ105" s="38"/>
      <c r="AK105" s="39"/>
      <c r="AL105" s="39"/>
      <c r="AM105" s="10"/>
      <c r="AN105" s="39"/>
      <c r="AO105" s="11"/>
      <c r="AP105" s="18"/>
      <c r="AQ105" s="40"/>
      <c r="AS105" s="8"/>
      <c r="AU105" s="72"/>
      <c r="AV105" s="16">
        <v>46171</v>
      </c>
      <c r="AW105" s="10">
        <f t="shared" si="26"/>
        <v>712370</v>
      </c>
      <c r="AX105" s="10">
        <v>712461</v>
      </c>
      <c r="AY105" s="10">
        <f>Table269121420304054708298112481216204274138[[#This Row],[KM Final]]-Table269121420304054708298112481216204274138[[#This Row],[KM Inicial]]</f>
        <v>91</v>
      </c>
      <c r="AZ105" s="10">
        <v>424.8</v>
      </c>
      <c r="BA105" s="11">
        <f>Table269121420304054708298112481216204274138[[#This Row],[KM Rodado]]/Table269121420304054708298112481216204274138[[#This Row],[Consumo Lt]]</f>
        <v>0.21421845574387946</v>
      </c>
      <c r="BB105" s="11">
        <v>30.92</v>
      </c>
      <c r="BC105" s="12">
        <v>2742</v>
      </c>
      <c r="BE105" s="8"/>
      <c r="BG105" s="72"/>
      <c r="BH105" s="16">
        <v>46198</v>
      </c>
      <c r="BI105" s="10">
        <f t="shared" si="27"/>
        <v>723888</v>
      </c>
      <c r="BJ105" s="10">
        <v>725100</v>
      </c>
      <c r="BK105" s="10">
        <f>Table269121420304054708298112610141862[[#This Row],[KM Final]]-Table269121420304054708298112610141862[[#This Row],[KM Inicial]]</f>
        <v>1212</v>
      </c>
      <c r="BL105" s="11">
        <v>421.23</v>
      </c>
      <c r="BM105" s="69">
        <f>Table269121420304054708298112610141862[[#This Row],[KM Rodado]]/Table269121420304054708298112610141862[[#This Row],[Consumo Lt]]</f>
        <v>2.8772879424542412</v>
      </c>
      <c r="BN105" s="11">
        <v>45.6</v>
      </c>
      <c r="BO105" s="12">
        <v>2784.34</v>
      </c>
      <c r="BQ105" s="8"/>
    </row>
    <row r="106" spans="1:69">
      <c r="A106" s="72"/>
      <c r="B106" s="16">
        <v>46047</v>
      </c>
      <c r="C106" s="10">
        <f t="shared" si="22"/>
        <v>657547</v>
      </c>
      <c r="D106" s="10">
        <v>658173</v>
      </c>
      <c r="E106" s="10">
        <f>Table2691214203040547082981126101418[[#This Row],[KM Final]]-Table2691214203040547082981126101418[[#This Row],[KM Inicial]]</f>
        <v>626</v>
      </c>
      <c r="F106" s="10">
        <v>189.83</v>
      </c>
      <c r="G106" s="12">
        <f>Table2691214203040547082981126101418[[#This Row],[KM Rodado]]/Table2691214203040547082981126101418[[#This Row],[Consumo Lt]]</f>
        <v>3.2976874045198334</v>
      </c>
      <c r="H106" s="18"/>
      <c r="I106" s="12">
        <v>1049.75</v>
      </c>
      <c r="K106" s="14"/>
      <c r="M106" s="38"/>
      <c r="N106" s="39"/>
      <c r="O106" s="39"/>
      <c r="P106" s="10"/>
      <c r="Q106" s="39"/>
      <c r="R106" s="11"/>
      <c r="S106" s="11"/>
      <c r="T106" s="40"/>
      <c r="U106" t="s">
        <v>50</v>
      </c>
      <c r="V106" s="14">
        <v>194.5</v>
      </c>
      <c r="X106" s="72"/>
      <c r="Y106" s="38">
        <v>46112</v>
      </c>
      <c r="Z106" s="39">
        <f t="shared" si="24"/>
        <v>686121</v>
      </c>
      <c r="AA106" s="39">
        <v>687309</v>
      </c>
      <c r="AB106" s="10">
        <f>Table2691214203040547082981124812162042[[#This Row],[KM Final]]-Table2691214203040547082981124812162042[[#This Row],[KM Inicial]]</f>
        <v>1188</v>
      </c>
      <c r="AC106" s="39">
        <v>443</v>
      </c>
      <c r="AD106" s="11">
        <f>Table2691214203040547082981124812162042[[#This Row],[KM Rodado]]/Table2691214203040547082981124812162042[[#This Row],[Consumo Lt]]</f>
        <v>2.6817155756207676</v>
      </c>
      <c r="AE106" s="18">
        <v>27.959</v>
      </c>
      <c r="AF106" s="40">
        <v>3246.83</v>
      </c>
      <c r="AH106" s="14"/>
      <c r="AJ106" s="38"/>
      <c r="AK106" s="39"/>
      <c r="AL106" s="39"/>
      <c r="AM106" s="10"/>
      <c r="AN106" s="39"/>
      <c r="AO106" s="11"/>
      <c r="AP106" s="18"/>
      <c r="AQ106" s="40"/>
      <c r="AS106" s="14"/>
      <c r="AU106" s="72"/>
      <c r="AV106" s="38"/>
      <c r="AW106" s="15">
        <f t="shared" si="26"/>
        <v>712461</v>
      </c>
      <c r="AX106" s="39"/>
      <c r="AY106" s="10"/>
      <c r="AZ106" s="39"/>
      <c r="BA106" s="11"/>
      <c r="BB106" s="18"/>
      <c r="BC106" s="40"/>
      <c r="BE106" s="14"/>
      <c r="BG106" s="72"/>
      <c r="BH106" s="16">
        <v>46199</v>
      </c>
      <c r="BI106" s="10">
        <f t="shared" si="27"/>
        <v>725100</v>
      </c>
      <c r="BJ106" s="10">
        <v>726262</v>
      </c>
      <c r="BK106" s="10">
        <f>Table269121420304054708298112610141862[[#This Row],[KM Final]]-Table269121420304054708298112610141862[[#This Row],[KM Inicial]]</f>
        <v>1162</v>
      </c>
      <c r="BL106" s="11">
        <v>390.29</v>
      </c>
      <c r="BM106" s="69">
        <f>Table269121420304054708298112610141862[[#This Row],[KM Rodado]]/Table269121420304054708298112610141862[[#This Row],[Consumo Lt]]</f>
        <v>2.9772733095903043</v>
      </c>
      <c r="BN106" s="11">
        <v>24.11</v>
      </c>
      <c r="BO106" s="12">
        <v>2509.71</v>
      </c>
      <c r="BQ106" s="14"/>
    </row>
    <row r="107" spans="1:69">
      <c r="A107" s="72"/>
      <c r="B107" s="16">
        <v>46049</v>
      </c>
      <c r="C107" s="10">
        <f t="shared" si="22"/>
        <v>658173</v>
      </c>
      <c r="D107" s="10">
        <v>659472</v>
      </c>
      <c r="E107" s="10">
        <f>Table2691214203040547082981126101418[[#This Row],[KM Final]]-Table2691214203040547082981126101418[[#This Row],[KM Inicial]]</f>
        <v>1299</v>
      </c>
      <c r="F107" s="10">
        <v>427</v>
      </c>
      <c r="G107" s="12">
        <f>Table2691214203040547082981126101418[[#This Row],[KM Rodado]]/Table2691214203040547082981126101418[[#This Row],[Consumo Lt]]</f>
        <v>3.0421545667447307</v>
      </c>
      <c r="H107" s="18">
        <v>38.65</v>
      </c>
      <c r="I107" s="12">
        <v>2499.44</v>
      </c>
      <c r="K107" s="8"/>
      <c r="M107" s="38"/>
      <c r="N107" s="39"/>
      <c r="O107" s="39"/>
      <c r="P107" s="10"/>
      <c r="Q107" s="39"/>
      <c r="R107" s="11"/>
      <c r="S107" s="11"/>
      <c r="T107" s="40"/>
      <c r="U107" t="s">
        <v>51</v>
      </c>
      <c r="V107" s="8">
        <v>455</v>
      </c>
      <c r="X107" s="72"/>
      <c r="Y107" s="38"/>
      <c r="Z107" s="19">
        <f t="shared" si="24"/>
        <v>687309</v>
      </c>
      <c r="AA107" s="39"/>
      <c r="AB107" s="10"/>
      <c r="AC107" s="39"/>
      <c r="AD107" s="11"/>
      <c r="AE107" s="18"/>
      <c r="AF107" s="40"/>
      <c r="AH107" s="8"/>
      <c r="AJ107" s="38"/>
      <c r="AK107" s="39"/>
      <c r="AL107" s="39"/>
      <c r="AM107" s="10"/>
      <c r="AN107" s="39"/>
      <c r="AO107" s="11"/>
      <c r="AP107" s="18"/>
      <c r="AQ107" s="40"/>
      <c r="AS107" s="8"/>
      <c r="AU107" s="72"/>
      <c r="AV107" s="38"/>
      <c r="AW107" s="39"/>
      <c r="AX107" s="39"/>
      <c r="AY107" s="10"/>
      <c r="AZ107" s="39"/>
      <c r="BA107" s="11"/>
      <c r="BB107" s="18"/>
      <c r="BC107" s="40"/>
      <c r="BE107" s="8"/>
      <c r="BG107" s="72"/>
      <c r="BH107" s="16">
        <v>46201</v>
      </c>
      <c r="BI107" s="10">
        <f t="shared" si="27"/>
        <v>726262</v>
      </c>
      <c r="BJ107" s="10">
        <v>727286</v>
      </c>
      <c r="BK107" s="10">
        <f>Table269121420304054708298112610141862[[#This Row],[KM Final]]-Table269121420304054708298112610141862[[#This Row],[KM Inicial]]</f>
        <v>1024</v>
      </c>
      <c r="BL107" s="11">
        <v>328.88</v>
      </c>
      <c r="BM107" s="69">
        <f>Table269121420304054708298112610141862[[#This Row],[KM Rodado]]/Table269121420304054708298112610141862[[#This Row],[Consumo Lt]]</f>
        <v>3.1135976648017514</v>
      </c>
      <c r="BN107" s="11">
        <v>20.21</v>
      </c>
      <c r="BO107" s="12">
        <v>2116.1999999999998</v>
      </c>
      <c r="BQ107" s="8"/>
    </row>
    <row r="108" spans="1:69">
      <c r="A108" s="72"/>
      <c r="B108" s="16">
        <v>46052</v>
      </c>
      <c r="C108" s="10">
        <f t="shared" si="22"/>
        <v>659472</v>
      </c>
      <c r="D108" s="10">
        <v>660655</v>
      </c>
      <c r="E108" s="10">
        <f>Table2691214203040547082981126101418[[#This Row],[KM Final]]-Table2691214203040547082981126101418[[#This Row],[KM Inicial]]</f>
        <v>1183</v>
      </c>
      <c r="F108" s="10">
        <v>405.63</v>
      </c>
      <c r="G108" s="12">
        <f>Table2691214203040547082981126101418[[#This Row],[KM Rodado]]/Table2691214203040547082981126101418[[#This Row],[Consumo Lt]]</f>
        <v>2.9164509528387939</v>
      </c>
      <c r="H108" s="18">
        <v>24.59</v>
      </c>
      <c r="I108" s="12">
        <v>2323.23</v>
      </c>
      <c r="K108" s="8"/>
      <c r="M108" s="39"/>
      <c r="N108" s="39"/>
      <c r="O108" s="39"/>
      <c r="P108" s="10"/>
      <c r="Q108" s="39"/>
      <c r="R108" s="11"/>
      <c r="S108" s="11"/>
      <c r="T108" s="40"/>
      <c r="V108" s="8"/>
      <c r="X108" s="72"/>
      <c r="Y108" s="39"/>
      <c r="Z108" s="39"/>
      <c r="AA108" s="39"/>
      <c r="AB108" s="10"/>
      <c r="AC108" s="39"/>
      <c r="AD108" s="11"/>
      <c r="AE108" s="18"/>
      <c r="AF108" s="40"/>
      <c r="AH108" s="8"/>
      <c r="AJ108" s="39"/>
      <c r="AK108" s="39"/>
      <c r="AL108" s="39"/>
      <c r="AM108" s="10"/>
      <c r="AN108" s="39"/>
      <c r="AO108" s="11"/>
      <c r="AP108" s="18"/>
      <c r="AQ108" s="40"/>
      <c r="AS108" s="8"/>
      <c r="AU108" s="72"/>
      <c r="AV108" s="39"/>
      <c r="AW108" s="39"/>
      <c r="AX108" s="39"/>
      <c r="AY108" s="10"/>
      <c r="AZ108" s="39"/>
      <c r="BA108" s="11"/>
      <c r="BB108" s="18"/>
      <c r="BC108" s="40"/>
      <c r="BE108" s="8"/>
      <c r="BG108" s="72"/>
      <c r="BH108" s="16"/>
      <c r="BI108" s="19">
        <f t="shared" si="27"/>
        <v>727286</v>
      </c>
      <c r="BJ108" s="10"/>
      <c r="BK108" s="10"/>
      <c r="BL108" s="11"/>
      <c r="BM108" s="69"/>
      <c r="BN108" s="11"/>
      <c r="BO108" s="12"/>
      <c r="BQ108" s="8"/>
    </row>
    <row r="109" spans="1:69">
      <c r="A109" s="72"/>
      <c r="B109" s="10"/>
      <c r="C109" s="10">
        <f t="shared" si="22"/>
        <v>660655</v>
      </c>
      <c r="D109" s="10"/>
      <c r="E109" s="10"/>
      <c r="F109" s="10"/>
      <c r="G109" s="12"/>
      <c r="H109" s="18"/>
      <c r="I109" s="12"/>
      <c r="K109" s="8"/>
      <c r="M109" s="39"/>
      <c r="N109" s="39"/>
      <c r="O109" s="39"/>
      <c r="P109" s="10"/>
      <c r="Q109" s="39"/>
      <c r="R109" s="11"/>
      <c r="S109" s="11"/>
      <c r="T109" s="40"/>
      <c r="V109" s="8"/>
      <c r="X109" s="72"/>
      <c r="Y109" s="39"/>
      <c r="Z109" s="39"/>
      <c r="AA109" s="39"/>
      <c r="AB109" s="10"/>
      <c r="AC109" s="39"/>
      <c r="AD109" s="11"/>
      <c r="AE109" s="18"/>
      <c r="AF109" s="40"/>
      <c r="AH109" s="8"/>
      <c r="AJ109" s="39"/>
      <c r="AK109" s="39"/>
      <c r="AL109" s="39"/>
      <c r="AM109" s="10"/>
      <c r="AN109" s="39"/>
      <c r="AO109" s="11"/>
      <c r="AP109" s="18"/>
      <c r="AQ109" s="40"/>
      <c r="AS109" s="8"/>
      <c r="AU109" s="72"/>
      <c r="AV109" s="39"/>
      <c r="AW109" s="39"/>
      <c r="AX109" s="39"/>
      <c r="AY109" s="10"/>
      <c r="AZ109" s="39"/>
      <c r="BA109" s="11"/>
      <c r="BB109" s="18"/>
      <c r="BC109" s="40"/>
      <c r="BE109" s="8"/>
      <c r="BG109" s="72"/>
      <c r="BH109" s="10"/>
      <c r="BI109" s="10"/>
      <c r="BJ109" s="10"/>
      <c r="BK109" s="10"/>
      <c r="BL109" s="11"/>
      <c r="BM109" s="69"/>
      <c r="BN109" s="11"/>
      <c r="BO109" s="12"/>
      <c r="BQ109" s="8"/>
    </row>
    <row r="110" spans="1:69">
      <c r="A110" s="72"/>
      <c r="B110" s="10"/>
      <c r="C110" s="19"/>
      <c r="D110" s="10"/>
      <c r="E110" s="10"/>
      <c r="F110" s="10"/>
      <c r="G110" s="12"/>
      <c r="H110" s="18"/>
      <c r="I110" s="12"/>
      <c r="K110" s="8"/>
      <c r="M110" s="39"/>
      <c r="N110" s="39"/>
      <c r="O110" s="39"/>
      <c r="P110" s="10"/>
      <c r="Q110" s="39"/>
      <c r="R110" s="11"/>
      <c r="S110" s="11"/>
      <c r="T110" s="40"/>
      <c r="V110" s="8"/>
      <c r="X110" s="72"/>
      <c r="Y110" s="39"/>
      <c r="Z110" s="39"/>
      <c r="AA110" s="39"/>
      <c r="AB110" s="10"/>
      <c r="AC110" s="39"/>
      <c r="AD110" s="11"/>
      <c r="AE110" s="18"/>
      <c r="AF110" s="40"/>
      <c r="AH110" s="8"/>
      <c r="AJ110" s="39"/>
      <c r="AK110" s="39"/>
      <c r="AL110" s="39"/>
      <c r="AM110" s="10"/>
      <c r="AN110" s="39"/>
      <c r="AO110" s="11"/>
      <c r="AP110" s="18"/>
      <c r="AQ110" s="40"/>
      <c r="AS110" s="8"/>
      <c r="AU110" s="72"/>
      <c r="AV110" s="39"/>
      <c r="AW110" s="39"/>
      <c r="AX110" s="39"/>
      <c r="AY110" s="10"/>
      <c r="AZ110" s="39"/>
      <c r="BA110" s="11"/>
      <c r="BB110" s="18"/>
      <c r="BC110" s="40"/>
      <c r="BE110" s="8"/>
      <c r="BG110" s="72"/>
      <c r="BH110" s="10"/>
      <c r="BI110" s="19"/>
      <c r="BJ110" s="10"/>
      <c r="BK110" s="10"/>
      <c r="BL110" s="11"/>
      <c r="BM110" s="69"/>
      <c r="BN110" s="11"/>
      <c r="BO110" s="12"/>
      <c r="BQ110" s="8"/>
    </row>
    <row r="111" spans="1:69">
      <c r="A111" s="72"/>
      <c r="B111" s="10"/>
      <c r="C111" s="19"/>
      <c r="D111" s="10"/>
      <c r="E111" s="10"/>
      <c r="F111" s="10"/>
      <c r="G111" s="12"/>
      <c r="H111" s="18"/>
      <c r="I111" s="12"/>
      <c r="K111" s="8"/>
      <c r="M111" s="39"/>
      <c r="N111" s="39"/>
      <c r="O111" s="39"/>
      <c r="P111" s="10"/>
      <c r="Q111" s="39"/>
      <c r="R111" s="11"/>
      <c r="S111" s="11"/>
      <c r="T111" s="40"/>
      <c r="V111" s="8"/>
      <c r="X111" s="72"/>
      <c r="Y111" s="39"/>
      <c r="Z111" s="39"/>
      <c r="AA111" s="39"/>
      <c r="AB111" s="10"/>
      <c r="AC111" s="39"/>
      <c r="AD111" s="11"/>
      <c r="AE111" s="18"/>
      <c r="AF111" s="40"/>
      <c r="AH111" s="8"/>
      <c r="AJ111" s="39"/>
      <c r="AK111" s="39"/>
      <c r="AL111" s="39"/>
      <c r="AM111" s="10"/>
      <c r="AN111" s="39"/>
      <c r="AO111" s="11"/>
      <c r="AP111" s="18"/>
      <c r="AQ111" s="40"/>
      <c r="AS111" s="8"/>
      <c r="AU111" s="72"/>
      <c r="AV111" s="39"/>
      <c r="AW111" s="39"/>
      <c r="AX111" s="39"/>
      <c r="AY111" s="10"/>
      <c r="AZ111" s="39"/>
      <c r="BA111" s="11"/>
      <c r="BB111" s="18"/>
      <c r="BC111" s="40"/>
      <c r="BE111" s="8"/>
      <c r="BG111" s="72"/>
      <c r="BH111" s="10"/>
      <c r="BI111" s="19"/>
      <c r="BJ111" s="10"/>
      <c r="BK111" s="10"/>
      <c r="BL111" s="11"/>
      <c r="BM111" s="69"/>
      <c r="BN111" s="11"/>
      <c r="BO111" s="12"/>
      <c r="BQ111" s="8"/>
    </row>
    <row r="112" spans="1:69">
      <c r="A112" s="72"/>
      <c r="B112" s="20"/>
      <c r="C112" s="20"/>
      <c r="D112" s="25"/>
      <c r="E112" s="25">
        <f>SUM(E95:E111)</f>
        <v>15852</v>
      </c>
      <c r="F112" s="25">
        <f>SUM(F95:F111)</f>
        <v>5142.7700000000004</v>
      </c>
      <c r="G112" s="29">
        <f>Table2691214203040547082981126101418[[#This Row],[KM Rodado]]/Table2691214203040547082981126101418[[#This Row],[Consumo Lt]]</f>
        <v>3.0823855626442556</v>
      </c>
      <c r="H112" s="20"/>
      <c r="I112" s="26">
        <f>SUM(I95:I111)</f>
        <v>29306.68</v>
      </c>
      <c r="J112" s="21" t="s">
        <v>10</v>
      </c>
      <c r="K112" s="21">
        <f>SUM(K95:K111)</f>
        <v>1270.5</v>
      </c>
      <c r="M112" s="22"/>
      <c r="N112" s="22"/>
      <c r="O112" s="23"/>
      <c r="P112" s="23">
        <f>SUM(P95:P111)</f>
        <v>12931</v>
      </c>
      <c r="Q112" s="23">
        <f>SUM(Q95:Q111)</f>
        <v>4351.28</v>
      </c>
      <c r="R112" s="30">
        <f>Table26912142030405470829811248121620[[#This Row],[KM Rodado]]/Table26912142030405470829811248121620[[#This Row],[Consumo Lt]]</f>
        <v>2.9717692265264475</v>
      </c>
      <c r="S112" s="23">
        <f>SUM(S95:S111)</f>
        <v>278.40999999999997</v>
      </c>
      <c r="T112" s="22">
        <f>SUM(T95:T111)</f>
        <v>24726.7</v>
      </c>
      <c r="U112" s="21" t="s">
        <v>10</v>
      </c>
      <c r="V112" s="21">
        <f>SUM(V95:V111)</f>
        <v>3832.5</v>
      </c>
      <c r="X112" s="72"/>
      <c r="Y112" s="22"/>
      <c r="Z112" s="22"/>
      <c r="AA112" s="23"/>
      <c r="AB112" s="23">
        <f>SUM(AB95:AB111)</f>
        <v>13723</v>
      </c>
      <c r="AC112" s="23">
        <f>SUM(AC95:AC111)</f>
        <v>4743.25</v>
      </c>
      <c r="AD112" s="30">
        <f>Table2691214203040547082981124812162042[[#This Row],[KM Rodado]]/Table2691214203040547082981124812162042[[#This Row],[Consumo Lt]]</f>
        <v>2.8931639698518947</v>
      </c>
      <c r="AE112" s="23">
        <f>SUM(AE95:AE111)</f>
        <v>242.279</v>
      </c>
      <c r="AF112" s="22">
        <f>SUM(AF95:AF111)</f>
        <v>30707.130000000005</v>
      </c>
      <c r="AG112" s="21" t="s">
        <v>10</v>
      </c>
      <c r="AH112" s="21">
        <f>SUM(AH95:AH111)</f>
        <v>5039</v>
      </c>
      <c r="AJ112" s="22"/>
      <c r="AK112" s="22"/>
      <c r="AL112" s="23"/>
      <c r="AM112" s="23">
        <f>SUM(AM95:AM111)</f>
        <v>11766</v>
      </c>
      <c r="AN112" s="23">
        <f>SUM(AN95:AN111)</f>
        <v>3976.9030000000002</v>
      </c>
      <c r="AO112" s="30">
        <f>Table269121420304054708298112481216204274[[#This Row],[KM Rodado]]/Table269121420304054708298112481216204274[[#This Row],[Consumo Lt]]</f>
        <v>2.9585836013601536</v>
      </c>
      <c r="AP112" s="23">
        <f>SUM(AP95:AP111)</f>
        <v>224.05800000000005</v>
      </c>
      <c r="AQ112" s="22">
        <f>SUM(AQ95:AQ111)</f>
        <v>28622.76</v>
      </c>
      <c r="AR112" s="21" t="s">
        <v>10</v>
      </c>
      <c r="AS112" s="21">
        <f>SUM(AS95:AS111)</f>
        <v>2654</v>
      </c>
      <c r="AU112" s="72"/>
      <c r="AV112" s="22"/>
      <c r="AW112" s="22"/>
      <c r="AX112" s="23"/>
      <c r="AY112" s="23">
        <f>AW106-AW95</f>
        <v>13386</v>
      </c>
      <c r="AZ112" s="23">
        <f>SUM(AZ95:AZ111)</f>
        <v>4569.22</v>
      </c>
      <c r="BA112" s="30">
        <f>Table269121420304054708298112481216204274138[[#This Row],[KM Rodado]]/Table269121420304054708298112481216204274138[[#This Row],[Consumo Lt]]</f>
        <v>2.9296028643838552</v>
      </c>
      <c r="BB112" s="23">
        <f>SUM(BB95:BB111)</f>
        <v>262.72000000000003</v>
      </c>
      <c r="BC112" s="22">
        <f>SUM(BC95:BC111)</f>
        <v>30474.26</v>
      </c>
      <c r="BD112" s="21" t="s">
        <v>10</v>
      </c>
      <c r="BE112" s="21">
        <f>SUM(BE95:BE111)</f>
        <v>2304</v>
      </c>
      <c r="BG112" s="72"/>
      <c r="BH112" s="20"/>
      <c r="BI112" s="20"/>
      <c r="BJ112" s="25"/>
      <c r="BK112" s="25">
        <f>BI108-BI95</f>
        <v>14825</v>
      </c>
      <c r="BL112" s="29">
        <f>SUM(BL95:BL111)</f>
        <v>5175.1400000000012</v>
      </c>
      <c r="BM112" s="29">
        <f>Table269121420304054708298112610141862[[#This Row],[KM Rodado]]/Table269121420304054708298112610141862[[#This Row],[Consumo Lt]]</f>
        <v>2.8646568015551264</v>
      </c>
      <c r="BN112" s="29">
        <f>SUM(BN95:BN111)</f>
        <v>270.75199999999995</v>
      </c>
      <c r="BO112" s="26">
        <f>SUM(BO95:BO111)</f>
        <v>33218.97</v>
      </c>
      <c r="BP112" s="21" t="s">
        <v>10</v>
      </c>
      <c r="BQ112" s="21">
        <f>SUM(BQ95:BQ111)</f>
        <v>924</v>
      </c>
    </row>
    <row r="116" spans="1:69" ht="33.75" customHeight="1">
      <c r="B116" s="71">
        <v>46023</v>
      </c>
      <c r="C116" s="71"/>
      <c r="D116" s="71"/>
      <c r="E116" s="71"/>
      <c r="F116" s="71"/>
      <c r="G116" s="71"/>
      <c r="H116" s="71"/>
      <c r="I116" s="71"/>
      <c r="J116" s="71"/>
      <c r="L116" s="73">
        <v>46054</v>
      </c>
      <c r="M116" s="73"/>
      <c r="N116" s="73"/>
      <c r="O116" s="73"/>
      <c r="P116" s="73"/>
      <c r="Q116" s="73"/>
      <c r="R116" s="73"/>
      <c r="S116" s="73"/>
      <c r="T116" s="73"/>
      <c r="W116" s="71">
        <v>46082</v>
      </c>
      <c r="X116" s="71"/>
      <c r="Y116" s="71"/>
      <c r="Z116" s="71"/>
      <c r="AA116" s="71"/>
      <c r="AB116" s="71"/>
      <c r="AC116" s="71"/>
      <c r="AD116" s="71"/>
      <c r="AE116" s="71"/>
      <c r="AF116" s="71"/>
      <c r="AI116" s="73">
        <v>46113</v>
      </c>
      <c r="AJ116" s="73"/>
      <c r="AK116" s="73"/>
      <c r="AL116" s="73"/>
      <c r="AM116" s="73"/>
      <c r="AN116" s="73"/>
      <c r="AO116" s="73"/>
      <c r="AP116" s="73"/>
      <c r="AQ116" s="73"/>
      <c r="AU116" s="73">
        <v>46143</v>
      </c>
      <c r="AV116" s="73"/>
      <c r="AW116" s="73"/>
      <c r="AX116" s="73"/>
      <c r="AY116" s="73"/>
      <c r="AZ116" s="73"/>
      <c r="BA116" s="73"/>
      <c r="BB116" s="73"/>
      <c r="BC116" s="73"/>
      <c r="BH116" s="71">
        <v>46174</v>
      </c>
      <c r="BI116" s="71"/>
      <c r="BJ116" s="71"/>
      <c r="BK116" s="71"/>
      <c r="BL116" s="71"/>
      <c r="BM116" s="71"/>
      <c r="BN116" s="71"/>
      <c r="BO116" s="71"/>
      <c r="BP116" s="71"/>
    </row>
    <row r="117" spans="1:69">
      <c r="A117" s="1" t="s">
        <v>11</v>
      </c>
      <c r="B117" s="1" t="s">
        <v>0</v>
      </c>
      <c r="C117" s="1" t="s">
        <v>1</v>
      </c>
      <c r="D117" s="1" t="s">
        <v>2</v>
      </c>
      <c r="E117" s="1" t="s">
        <v>3</v>
      </c>
      <c r="F117" s="1" t="s">
        <v>4</v>
      </c>
      <c r="G117" s="1" t="s">
        <v>5</v>
      </c>
      <c r="H117" s="17" t="s">
        <v>21</v>
      </c>
      <c r="I117" s="2" t="s">
        <v>6</v>
      </c>
      <c r="J117" s="3" t="s">
        <v>7</v>
      </c>
      <c r="K117" s="4" t="s">
        <v>6</v>
      </c>
      <c r="M117" s="1" t="s">
        <v>0</v>
      </c>
      <c r="N117" s="1" t="s">
        <v>1</v>
      </c>
      <c r="O117" s="1" t="s">
        <v>2</v>
      </c>
      <c r="P117" s="1" t="s">
        <v>3</v>
      </c>
      <c r="Q117" s="1" t="s">
        <v>4</v>
      </c>
      <c r="R117" s="1" t="s">
        <v>5</v>
      </c>
      <c r="S117" s="17" t="s">
        <v>21</v>
      </c>
      <c r="T117" s="2" t="s">
        <v>6</v>
      </c>
      <c r="U117" s="3" t="s">
        <v>7</v>
      </c>
      <c r="V117" s="4" t="s">
        <v>6</v>
      </c>
      <c r="X117" s="1" t="s">
        <v>11</v>
      </c>
      <c r="Y117" s="1" t="s">
        <v>0</v>
      </c>
      <c r="Z117" s="1" t="s">
        <v>1</v>
      </c>
      <c r="AA117" s="1" t="s">
        <v>2</v>
      </c>
      <c r="AB117" s="1" t="s">
        <v>3</v>
      </c>
      <c r="AC117" s="1" t="s">
        <v>4</v>
      </c>
      <c r="AD117" s="1" t="s">
        <v>5</v>
      </c>
      <c r="AE117" s="17" t="s">
        <v>21</v>
      </c>
      <c r="AF117" s="2" t="s">
        <v>6</v>
      </c>
      <c r="AG117" s="3" t="s">
        <v>7</v>
      </c>
      <c r="AH117" s="4" t="s">
        <v>6</v>
      </c>
      <c r="AJ117" s="1" t="s">
        <v>0</v>
      </c>
      <c r="AK117" s="1" t="s">
        <v>1</v>
      </c>
      <c r="AL117" s="1" t="s">
        <v>2</v>
      </c>
      <c r="AM117" s="1" t="s">
        <v>3</v>
      </c>
      <c r="AN117" s="1" t="s">
        <v>4</v>
      </c>
      <c r="AO117" s="1" t="s">
        <v>5</v>
      </c>
      <c r="AP117" s="17" t="s">
        <v>21</v>
      </c>
      <c r="AQ117" s="2" t="s">
        <v>6</v>
      </c>
      <c r="AR117" s="3" t="s">
        <v>7</v>
      </c>
      <c r="AS117" s="4" t="s">
        <v>6</v>
      </c>
      <c r="AU117" s="1" t="s">
        <v>11</v>
      </c>
      <c r="AV117" s="1" t="s">
        <v>0</v>
      </c>
      <c r="AW117" s="1" t="s">
        <v>1</v>
      </c>
      <c r="AX117" s="1" t="s">
        <v>2</v>
      </c>
      <c r="AY117" s="1" t="s">
        <v>3</v>
      </c>
      <c r="AZ117" s="1" t="s">
        <v>4</v>
      </c>
      <c r="BA117" s="1" t="s">
        <v>5</v>
      </c>
      <c r="BB117" s="17" t="s">
        <v>21</v>
      </c>
      <c r="BC117" s="2" t="s">
        <v>6</v>
      </c>
      <c r="BD117" s="3" t="s">
        <v>7</v>
      </c>
      <c r="BE117" s="4" t="s">
        <v>6</v>
      </c>
      <c r="BG117" s="1" t="s">
        <v>11</v>
      </c>
      <c r="BH117" s="1" t="s">
        <v>0</v>
      </c>
      <c r="BI117" s="1" t="s">
        <v>1</v>
      </c>
      <c r="BJ117" s="1" t="s">
        <v>2</v>
      </c>
      <c r="BK117" s="1" t="s">
        <v>3</v>
      </c>
      <c r="BL117" s="1" t="s">
        <v>4</v>
      </c>
      <c r="BM117" s="1" t="s">
        <v>5</v>
      </c>
      <c r="BN117" s="17" t="s">
        <v>21</v>
      </c>
      <c r="BO117" s="2" t="s">
        <v>6</v>
      </c>
      <c r="BP117" s="3" t="s">
        <v>7</v>
      </c>
      <c r="BQ117" s="4" t="s">
        <v>6</v>
      </c>
    </row>
    <row r="118" spans="1:69" ht="15" customHeight="1">
      <c r="A118" s="72" t="s">
        <v>17</v>
      </c>
      <c r="B118" s="16">
        <v>46029</v>
      </c>
      <c r="C118" s="10">
        <v>613850</v>
      </c>
      <c r="D118" s="10">
        <v>616253</v>
      </c>
      <c r="E118" s="10"/>
      <c r="F118" s="10"/>
      <c r="G118" s="11"/>
      <c r="H118" s="11">
        <v>43.3</v>
      </c>
      <c r="I118" s="12"/>
      <c r="J118" t="s">
        <v>8</v>
      </c>
      <c r="K118" s="8">
        <v>504</v>
      </c>
      <c r="M118" s="16">
        <v>46057</v>
      </c>
      <c r="N118" s="10">
        <v>626367</v>
      </c>
      <c r="O118" s="10">
        <v>628462</v>
      </c>
      <c r="P118" s="10">
        <f>Table2691214203040547082981124812162024[[#This Row],[KM Final]]-Table2691214203040547082981124812162024[[#This Row],[KM Inicial]]</f>
        <v>2095</v>
      </c>
      <c r="Q118" s="10">
        <v>629</v>
      </c>
      <c r="R118" s="11">
        <f>Table2691214203040547082981124812162024[[#This Row],[KM Rodado]]/Table2691214203040547082981124812162024[[#This Row],[Consumo Lt]]</f>
        <v>3.3306836248012717</v>
      </c>
      <c r="S118" s="11">
        <v>38.14</v>
      </c>
      <c r="T118" s="12">
        <v>3609</v>
      </c>
      <c r="U118" t="s">
        <v>8</v>
      </c>
      <c r="V118" s="8">
        <v>504</v>
      </c>
      <c r="X118" s="72" t="s">
        <v>17</v>
      </c>
      <c r="Y118" s="16">
        <v>46085</v>
      </c>
      <c r="Z118" s="10">
        <v>639378</v>
      </c>
      <c r="AA118" s="10">
        <v>641431</v>
      </c>
      <c r="AB118" s="10">
        <f>Table269121420304054708298112481216202444[[#This Row],[KM Final]]-Table269121420304054708298112481216202444[[#This Row],[KM Inicial]]</f>
        <v>2053</v>
      </c>
      <c r="AC118" s="10">
        <v>519.12</v>
      </c>
      <c r="AD118" s="11">
        <f>Table269121420304054708298112481216202444[[#This Row],[KM Rodado]]/Table269121420304054708298112481216202444[[#This Row],[Consumo Lt]]</f>
        <v>3.9547696101094161</v>
      </c>
      <c r="AE118" s="11">
        <v>41.14</v>
      </c>
      <c r="AF118" s="12">
        <v>3633</v>
      </c>
      <c r="AG118" t="s">
        <v>8</v>
      </c>
      <c r="AH118" s="8">
        <v>504</v>
      </c>
      <c r="AJ118" s="16">
        <v>46113</v>
      </c>
      <c r="AK118" s="10">
        <v>654046</v>
      </c>
      <c r="AL118" s="10">
        <v>655781</v>
      </c>
      <c r="AM118" s="10">
        <f>Table26912142030405470829811248121620244476[[#This Row],[KM Final]]-Table26912142030405470829811248121620244476[[#This Row],[KM Inicial]]</f>
        <v>1735</v>
      </c>
      <c r="AN118" s="10">
        <v>564.92999999999995</v>
      </c>
      <c r="AO118" s="11">
        <f>Table26912142030405470829811248121620244476[[#This Row],[KM Rodado]]/Table26912142030405470829811248121620244476[[#This Row],[Consumo Lt]]</f>
        <v>3.0711769599773424</v>
      </c>
      <c r="AP118" s="11">
        <v>38.68</v>
      </c>
      <c r="AQ118" s="12">
        <v>4055.35</v>
      </c>
      <c r="AR118" t="s">
        <v>8</v>
      </c>
      <c r="AS118" s="8">
        <v>504</v>
      </c>
      <c r="AU118" s="72" t="s">
        <v>17</v>
      </c>
      <c r="AV118" s="16">
        <v>46147</v>
      </c>
      <c r="AW118" s="10">
        <v>669535</v>
      </c>
      <c r="AX118" s="10">
        <v>671460</v>
      </c>
      <c r="AY118" s="10">
        <f>Table26912142030405470829811248121620244476140[[#This Row],[KM Final]]-Table26912142030405470829811248121620244476140[[#This Row],[KM Inicial]]</f>
        <v>1925</v>
      </c>
      <c r="AZ118" s="10">
        <v>565.02</v>
      </c>
      <c r="BA118" s="11">
        <f>Table26912142030405470829811248121620244476140[[#This Row],[KM Rodado]]/Table26912142030405470829811248121620244476140[[#This Row],[Consumo Lt]]</f>
        <v>3.4069590456974974</v>
      </c>
      <c r="BB118" s="11">
        <v>38.590000000000003</v>
      </c>
      <c r="BC118" s="12">
        <v>3918.53</v>
      </c>
      <c r="BD118" t="s">
        <v>8</v>
      </c>
      <c r="BE118" s="8">
        <v>504</v>
      </c>
      <c r="BG118" s="72" t="s">
        <v>17</v>
      </c>
      <c r="BH118" s="16">
        <v>46177</v>
      </c>
      <c r="BI118" s="18">
        <v>680595</v>
      </c>
      <c r="BJ118" s="18">
        <v>682908</v>
      </c>
      <c r="BK118" s="18">
        <f>Table26912142030405470829811261014182264[[#This Row],[KM Final]]-Table26912142030405470829811261014182264[[#This Row],[KM Inicial]]</f>
        <v>2313</v>
      </c>
      <c r="BL118" s="11">
        <v>705.16</v>
      </c>
      <c r="BM118" s="69">
        <f>Table26912142030405470829811261014182264[[#This Row],[KM Rodado]]/Table26912142030405470829811261014182264[[#This Row],[Consumo Lt]]</f>
        <v>3.2801066424641219</v>
      </c>
      <c r="BN118" s="11">
        <v>45.51</v>
      </c>
      <c r="BO118" s="12">
        <v>4710.82</v>
      </c>
      <c r="BP118" t="s">
        <v>8</v>
      </c>
      <c r="BQ118" s="8">
        <v>504</v>
      </c>
    </row>
    <row r="119" spans="1:69">
      <c r="A119" s="72"/>
      <c r="B119" s="16">
        <v>46031</v>
      </c>
      <c r="C119" s="10">
        <f>D118</f>
        <v>616253</v>
      </c>
      <c r="D119" s="10">
        <v>617161</v>
      </c>
      <c r="E119" s="10"/>
      <c r="F119" s="10"/>
      <c r="G119" s="11"/>
      <c r="H119" s="11"/>
      <c r="I119" s="12"/>
      <c r="J119" t="s">
        <v>20</v>
      </c>
      <c r="K119" s="8">
        <v>300</v>
      </c>
      <c r="M119" s="16">
        <v>46060</v>
      </c>
      <c r="N119" s="10">
        <f t="shared" ref="N119:N125" si="28">O118</f>
        <v>628462</v>
      </c>
      <c r="O119" s="10">
        <v>630417</v>
      </c>
      <c r="P119" s="10">
        <f>Table2691214203040547082981124812162024[[#This Row],[KM Final]]-Table2691214203040547082981124812162024[[#This Row],[KM Inicial]]</f>
        <v>1955</v>
      </c>
      <c r="Q119" s="10">
        <v>565</v>
      </c>
      <c r="R119" s="11">
        <f>Table2691214203040547082981124812162024[[#This Row],[KM Rodado]]/Table2691214203040547082981124812162024[[#This Row],[Consumo Lt]]</f>
        <v>3.4601769911504423</v>
      </c>
      <c r="S119" s="11">
        <v>35.590000000000003</v>
      </c>
      <c r="T119" s="12">
        <v>3246</v>
      </c>
      <c r="U119" t="s">
        <v>20</v>
      </c>
      <c r="V119" s="8">
        <v>300</v>
      </c>
      <c r="X119" s="72"/>
      <c r="Y119" s="16">
        <v>46087</v>
      </c>
      <c r="Z119" s="10">
        <f t="shared" ref="Z119:Z125" si="29">AA118</f>
        <v>641431</v>
      </c>
      <c r="AA119" s="10">
        <v>643488</v>
      </c>
      <c r="AB119" s="10">
        <f>Table269121420304054708298112481216202444[[#This Row],[KM Final]]-Table269121420304054708298112481216202444[[#This Row],[KM Inicial]]</f>
        <v>2057</v>
      </c>
      <c r="AC119" s="10">
        <v>592.04</v>
      </c>
      <c r="AD119" s="11">
        <f>Table269121420304054708298112481216202444[[#This Row],[KM Rodado]]/Table269121420304054708298112481216202444[[#This Row],[Consumo Lt]]</f>
        <v>3.4744274035538143</v>
      </c>
      <c r="AE119" s="11">
        <v>41.74</v>
      </c>
      <c r="AF119" s="12">
        <v>3577</v>
      </c>
      <c r="AG119" t="s">
        <v>20</v>
      </c>
      <c r="AH119" s="8">
        <v>300</v>
      </c>
      <c r="AJ119" s="16"/>
      <c r="AK119" s="10">
        <f t="shared" ref="AK119:AK128" si="30">AL118</f>
        <v>655781</v>
      </c>
      <c r="AL119" s="10">
        <v>657637</v>
      </c>
      <c r="AM119" s="10">
        <f>Table26912142030405470829811248121620244476[[#This Row],[KM Final]]-Table26912142030405470829811248121620244476[[#This Row],[KM Inicial]]</f>
        <v>1856</v>
      </c>
      <c r="AN119" s="10">
        <v>511</v>
      </c>
      <c r="AO119" s="11">
        <f>Table26912142030405470829811248121620244476[[#This Row],[KM Rodado]]/Table26912142030405470829811248121620244476[[#This Row],[Consumo Lt]]</f>
        <v>3.6320939334637963</v>
      </c>
      <c r="AP119" s="11"/>
      <c r="AQ119" s="12">
        <v>3577</v>
      </c>
      <c r="AR119" t="s">
        <v>20</v>
      </c>
      <c r="AS119" s="8">
        <v>300</v>
      </c>
      <c r="AU119" s="72"/>
      <c r="AV119" s="16">
        <v>46155</v>
      </c>
      <c r="AW119" s="10">
        <f t="shared" ref="AW119:AW125" si="31">AX118</f>
        <v>671460</v>
      </c>
      <c r="AX119" s="10">
        <v>673692</v>
      </c>
      <c r="AY119" s="10">
        <f>Table26912142030405470829811248121620244476140[[#This Row],[KM Final]]-Table26912142030405470829811248121620244476140[[#This Row],[KM Inicial]]</f>
        <v>2232</v>
      </c>
      <c r="AZ119" s="10">
        <v>647.13</v>
      </c>
      <c r="BA119" s="11">
        <f>Table26912142030405470829811248121620244476140[[#This Row],[KM Rodado]]/Table26912142030405470829811248121620244476140[[#This Row],[Consumo Lt]]</f>
        <v>3.449075147188355</v>
      </c>
      <c r="BB119" s="11">
        <v>37.799999999999997</v>
      </c>
      <c r="BC119" s="12">
        <v>4362.5</v>
      </c>
      <c r="BD119" t="s">
        <v>20</v>
      </c>
      <c r="BE119" s="8">
        <v>300</v>
      </c>
      <c r="BG119" s="72"/>
      <c r="BH119" s="16">
        <v>46189</v>
      </c>
      <c r="BI119" s="18">
        <f>BJ118</f>
        <v>682908</v>
      </c>
      <c r="BJ119" s="18">
        <v>685314</v>
      </c>
      <c r="BK119" s="18">
        <f>Table26912142030405470829811261014182264[[#This Row],[KM Final]]-Table26912142030405470829811261014182264[[#This Row],[KM Inicial]]</f>
        <v>2406</v>
      </c>
      <c r="BL119" s="11">
        <v>723.66</v>
      </c>
      <c r="BM119" s="69">
        <f>Table26912142030405470829811261014182264[[#This Row],[KM Rodado]]/Table26912142030405470829811261014182264[[#This Row],[Consumo Lt]]</f>
        <v>3.3247657739822571</v>
      </c>
      <c r="BN119" s="11">
        <v>48.34</v>
      </c>
      <c r="BO119" s="12">
        <v>4667.41</v>
      </c>
      <c r="BP119" t="s">
        <v>20</v>
      </c>
      <c r="BQ119" s="8">
        <v>300</v>
      </c>
    </row>
    <row r="120" spans="1:69">
      <c r="A120" s="72"/>
      <c r="B120" s="16">
        <v>46032</v>
      </c>
      <c r="C120" s="10">
        <f>D119</f>
        <v>617161</v>
      </c>
      <c r="D120" s="10">
        <v>617420</v>
      </c>
      <c r="E120" s="10">
        <v>3570</v>
      </c>
      <c r="F120" s="10">
        <v>1051.95</v>
      </c>
      <c r="G120" s="11">
        <f>Table269121420304054708298112610141822[[#This Row],[KM Rodado]]/Table269121420304054708298112610141822[[#This Row],[Consumo Lt]]</f>
        <v>3.3936974190788534</v>
      </c>
      <c r="H120" s="11">
        <v>27.18</v>
      </c>
      <c r="I120" s="12">
        <v>6342.84</v>
      </c>
      <c r="J120" t="s">
        <v>31</v>
      </c>
      <c r="K120" s="8">
        <v>480</v>
      </c>
      <c r="M120" s="16">
        <v>46069</v>
      </c>
      <c r="N120" s="10">
        <f t="shared" si="28"/>
        <v>630417</v>
      </c>
      <c r="O120" s="10">
        <v>633154</v>
      </c>
      <c r="P120" s="10"/>
      <c r="Q120" s="10"/>
      <c r="R120" s="11"/>
      <c r="S120" s="11">
        <v>44.31</v>
      </c>
      <c r="T120" s="12">
        <v>2000</v>
      </c>
      <c r="U120" t="s">
        <v>25</v>
      </c>
      <c r="V120" s="8">
        <v>420</v>
      </c>
      <c r="X120" s="72"/>
      <c r="Y120" s="16">
        <v>46092</v>
      </c>
      <c r="Z120" s="10">
        <f t="shared" si="29"/>
        <v>643488</v>
      </c>
      <c r="AA120" s="10">
        <v>645509</v>
      </c>
      <c r="AB120" s="10">
        <f>Table269121420304054708298112481216202444[[#This Row],[KM Final]]-Table269121420304054708298112481216202444[[#This Row],[KM Inicial]]</f>
        <v>2021</v>
      </c>
      <c r="AC120" s="10">
        <v>589.05999999999995</v>
      </c>
      <c r="AD120" s="11">
        <f>Table269121420304054708298112481216202444[[#This Row],[KM Rodado]]/Table269121420304054708298112481216202444[[#This Row],[Consumo Lt]]</f>
        <v>3.4308898923708964</v>
      </c>
      <c r="AE120" s="11">
        <v>40.22</v>
      </c>
      <c r="AF120" s="12">
        <v>3698</v>
      </c>
      <c r="AG120" t="s">
        <v>25</v>
      </c>
      <c r="AH120" s="8">
        <v>420</v>
      </c>
      <c r="AJ120" s="16">
        <v>46123</v>
      </c>
      <c r="AK120" s="10">
        <f t="shared" si="30"/>
        <v>657637</v>
      </c>
      <c r="AL120" s="10">
        <v>660073</v>
      </c>
      <c r="AM120" s="10">
        <f>Table26912142030405470829811248121620244476[[#This Row],[KM Final]]-Table26912142030405470829811248121620244476[[#This Row],[KM Inicial]]</f>
        <v>2436</v>
      </c>
      <c r="AN120" s="10">
        <v>200</v>
      </c>
      <c r="AO120" s="11">
        <f>Table26912142030405470829811248121620244476[[#This Row],[KM Rodado]]/Table26912142030405470829811248121620244476[[#This Row],[Consumo Lt]]</f>
        <v>12.18</v>
      </c>
      <c r="AP120" s="11">
        <v>20</v>
      </c>
      <c r="AQ120" s="12">
        <v>1553.59</v>
      </c>
      <c r="AR120" t="s">
        <v>90</v>
      </c>
      <c r="AS120" s="8">
        <v>141</v>
      </c>
      <c r="AU120" s="72"/>
      <c r="AV120" s="16">
        <v>46162</v>
      </c>
      <c r="AW120" s="10">
        <f t="shared" si="31"/>
        <v>673692</v>
      </c>
      <c r="AX120" s="10">
        <v>676232</v>
      </c>
      <c r="AY120" s="10">
        <f>Table26912142030405470829811248121620244476140[[#This Row],[KM Final]]-Table26912142030405470829811248121620244476140[[#This Row],[KM Inicial]]</f>
        <v>2540</v>
      </c>
      <c r="AZ120" s="10">
        <v>300</v>
      </c>
      <c r="BA120" s="11">
        <f>Table26912142030405470829811248121620244476140[[#This Row],[KM Rodado]]/Table26912142030405470829811248121620244476140[[#This Row],[Consumo Lt]]</f>
        <v>8.4666666666666668</v>
      </c>
      <c r="BB120" s="11">
        <v>45.89</v>
      </c>
      <c r="BC120" s="12">
        <v>2116.9</v>
      </c>
      <c r="BD120" t="s">
        <v>37</v>
      </c>
      <c r="BE120" s="8">
        <v>200</v>
      </c>
      <c r="BG120" s="72"/>
      <c r="BH120" s="16">
        <v>46197</v>
      </c>
      <c r="BI120" s="18">
        <f>BJ119</f>
        <v>685314</v>
      </c>
      <c r="BJ120" s="18">
        <v>687853</v>
      </c>
      <c r="BK120" s="18">
        <f>Table26912142030405470829811261014182264[[#This Row],[KM Final]]-Table26912142030405470829811261014182264[[#This Row],[KM Inicial]]</f>
        <v>2539</v>
      </c>
      <c r="BL120" s="11">
        <v>536</v>
      </c>
      <c r="BM120" s="11">
        <f>Table26912142030405470829811261014182264[[#This Row],[KM Rodado]]/Table26912142030405470829811261014182264[[#This Row],[Consumo Lt]]</f>
        <v>4.7369402985074629</v>
      </c>
      <c r="BN120" s="11"/>
      <c r="BO120" s="12">
        <v>3500.89</v>
      </c>
      <c r="BP120" t="s">
        <v>37</v>
      </c>
      <c r="BQ120" s="8">
        <v>500</v>
      </c>
    </row>
    <row r="121" spans="1:69">
      <c r="A121" s="72"/>
      <c r="B121" s="16">
        <v>46037</v>
      </c>
      <c r="C121" s="10">
        <f>D120</f>
        <v>617420</v>
      </c>
      <c r="D121" s="10">
        <v>619287</v>
      </c>
      <c r="E121" s="10">
        <f>Table269121420304054708298112610141822[[#This Row],[KM Final]]-Table269121420304054708298112610141822[[#This Row],[KM Inicial]]</f>
        <v>1867</v>
      </c>
      <c r="F121" s="10">
        <v>607.11</v>
      </c>
      <c r="G121" s="11">
        <f>Table269121420304054708298112610141822[[#This Row],[KM Rodado]]/Table269121420304054708298112610141822[[#This Row],[Consumo Lt]]</f>
        <v>3.0752252474839814</v>
      </c>
      <c r="H121" s="11">
        <v>40.380000000000003</v>
      </c>
      <c r="I121" s="12">
        <v>3512.35</v>
      </c>
      <c r="J121" t="s">
        <v>32</v>
      </c>
      <c r="K121" s="14">
        <v>5048</v>
      </c>
      <c r="M121" s="16">
        <v>46071</v>
      </c>
      <c r="N121" s="10">
        <f t="shared" si="28"/>
        <v>633154</v>
      </c>
      <c r="O121" s="10">
        <v>633834</v>
      </c>
      <c r="P121" s="10">
        <v>3417</v>
      </c>
      <c r="Q121" s="10">
        <v>952.96</v>
      </c>
      <c r="R121" s="11">
        <f>Table2691214203040547082981124812162024[[#This Row],[KM Rodado]]/Table2691214203040547082981124812162024[[#This Row],[Consumo Lt]]</f>
        <v>3.5856699126930827</v>
      </c>
      <c r="S121" s="11">
        <v>15.77</v>
      </c>
      <c r="T121" s="12">
        <v>3528</v>
      </c>
      <c r="V121" s="14"/>
      <c r="X121" s="72"/>
      <c r="Y121" s="16">
        <v>46097</v>
      </c>
      <c r="Z121" s="10">
        <f t="shared" si="29"/>
        <v>645509</v>
      </c>
      <c r="AA121" s="10">
        <v>647815</v>
      </c>
      <c r="AB121" s="10">
        <f>Table269121420304054708298112481216202444[[#This Row],[KM Final]]-Table269121420304054708298112481216202444[[#This Row],[KM Inicial]]</f>
        <v>2306</v>
      </c>
      <c r="AC121" s="10">
        <v>692.14</v>
      </c>
      <c r="AD121" s="11">
        <f>Table269121420304054708298112481216202444[[#This Row],[KM Rodado]]/Table269121420304054708298112481216202444[[#This Row],[Consumo Lt]]</f>
        <v>3.3316958996734765</v>
      </c>
      <c r="AE121" s="11">
        <v>46.12</v>
      </c>
      <c r="AF121" s="12">
        <v>4848</v>
      </c>
      <c r="AG121" t="s">
        <v>69</v>
      </c>
      <c r="AH121" s="14">
        <v>150</v>
      </c>
      <c r="AJ121" s="16">
        <v>46123</v>
      </c>
      <c r="AK121" s="10">
        <f t="shared" si="30"/>
        <v>660073</v>
      </c>
      <c r="AL121" s="10">
        <v>660333</v>
      </c>
      <c r="AM121" s="10">
        <f>Table26912142030405470829811248121620244476[[#This Row],[KM Final]]-Table26912142030405470829811248121620244476[[#This Row],[KM Inicial]]</f>
        <v>260</v>
      </c>
      <c r="AN121" s="10">
        <v>634.16999999999996</v>
      </c>
      <c r="AO121" s="11">
        <f>Table26912142030405470829811248121620244476[[#This Row],[KM Rodado]]/Table26912142030405470829811248121620244476[[#This Row],[Consumo Lt]]</f>
        <v>0.4099847044167968</v>
      </c>
      <c r="AP121" s="11">
        <v>33.5</v>
      </c>
      <c r="AQ121" s="12">
        <v>4422.9399999999996</v>
      </c>
      <c r="AR121" t="s">
        <v>71</v>
      </c>
      <c r="AS121" s="14">
        <v>1300</v>
      </c>
      <c r="AU121" s="72"/>
      <c r="AV121" s="16">
        <v>46164</v>
      </c>
      <c r="AW121" s="10">
        <f t="shared" si="31"/>
        <v>676232</v>
      </c>
      <c r="AX121" s="10">
        <v>676699</v>
      </c>
      <c r="AY121" s="10">
        <f>Table26912142030405470829811248121620244476140[[#This Row],[KM Final]]-Table26912142030405470829811248121620244476140[[#This Row],[KM Inicial]]</f>
        <v>467</v>
      </c>
      <c r="AZ121" s="10">
        <v>310</v>
      </c>
      <c r="BA121" s="11">
        <f>Table26912142030405470829811248121620244476140[[#This Row],[KM Rodado]]/Table26912142030405470829811248121620244476140[[#This Row],[Consumo Lt]]</f>
        <v>1.5064516129032257</v>
      </c>
      <c r="BB121" s="11"/>
      <c r="BC121" s="12">
        <v>2000</v>
      </c>
      <c r="BD121" t="s">
        <v>89</v>
      </c>
      <c r="BE121" s="14">
        <v>600</v>
      </c>
      <c r="BG121" s="72"/>
      <c r="BH121" s="16">
        <v>46199</v>
      </c>
      <c r="BI121" s="18"/>
      <c r="BJ121" s="18"/>
      <c r="BK121" s="18"/>
      <c r="BL121" s="11">
        <v>835.13</v>
      </c>
      <c r="BM121" s="69"/>
      <c r="BN121" s="11"/>
      <c r="BO121" s="12">
        <v>5252.98</v>
      </c>
      <c r="BP121" t="s">
        <v>123</v>
      </c>
      <c r="BQ121" s="14">
        <v>292</v>
      </c>
    </row>
    <row r="122" spans="1:69">
      <c r="A122" s="72"/>
      <c r="B122" s="16">
        <v>46043</v>
      </c>
      <c r="C122" s="10">
        <f>D121</f>
        <v>619287</v>
      </c>
      <c r="D122" s="10">
        <v>621166</v>
      </c>
      <c r="E122" s="10">
        <f>Table269121420304054708298112610141822[[#This Row],[KM Final]]-Table269121420304054708298112610141822[[#This Row],[KM Inicial]]</f>
        <v>1879</v>
      </c>
      <c r="F122" s="10">
        <v>512.07000000000005</v>
      </c>
      <c r="G122" s="11">
        <f>Table269121420304054708298112610141822[[#This Row],[KM Rodado]]/Table269121420304054708298112610141822[[#This Row],[Consumo Lt]]</f>
        <v>3.6694201964575153</v>
      </c>
      <c r="H122" s="11">
        <v>34.049999999999997</v>
      </c>
      <c r="I122" s="12">
        <v>2854.65</v>
      </c>
      <c r="K122" s="8"/>
      <c r="M122" s="16">
        <v>46074</v>
      </c>
      <c r="N122" s="10">
        <f t="shared" si="28"/>
        <v>633834</v>
      </c>
      <c r="O122" s="10">
        <v>635321</v>
      </c>
      <c r="P122" s="10">
        <f>Table2691214203040547082981124812162024[[#This Row],[KM Final]]-Table2691214203040547082981124812162024[[#This Row],[KM Inicial]]</f>
        <v>1487</v>
      </c>
      <c r="Q122" s="10">
        <v>571.01</v>
      </c>
      <c r="R122" s="11">
        <f>Table2691214203040547082981124812162024[[#This Row],[KM Rodado]]/Table2691214203040547082981124812162024[[#This Row],[Consumo Lt]]</f>
        <v>2.6041575454020069</v>
      </c>
      <c r="S122" s="11">
        <v>39.520000000000003</v>
      </c>
      <c r="T122" s="12">
        <v>3305.27</v>
      </c>
      <c r="V122" s="8"/>
      <c r="X122" s="72"/>
      <c r="Y122" s="16">
        <v>46100</v>
      </c>
      <c r="Z122" s="10">
        <f t="shared" si="29"/>
        <v>647815</v>
      </c>
      <c r="AA122" s="10">
        <v>650021</v>
      </c>
      <c r="AB122" s="10">
        <f>Table269121420304054708298112481216202444[[#This Row],[KM Final]]-Table269121420304054708298112481216202444[[#This Row],[KM Inicial]]</f>
        <v>2206</v>
      </c>
      <c r="AC122" s="10">
        <v>657</v>
      </c>
      <c r="AD122" s="11">
        <f>Table269121420304054708298112481216202444[[#This Row],[KM Rodado]]/Table269121420304054708298112481216202444[[#This Row],[Consumo Lt]]</f>
        <v>3.3576864535768647</v>
      </c>
      <c r="AE122" s="11">
        <v>46.38</v>
      </c>
      <c r="AF122" s="12">
        <v>4807</v>
      </c>
      <c r="AH122" s="8"/>
      <c r="AJ122" s="16">
        <v>46127</v>
      </c>
      <c r="AK122" s="10">
        <f t="shared" si="30"/>
        <v>660333</v>
      </c>
      <c r="AL122" s="10">
        <v>662613</v>
      </c>
      <c r="AM122" s="10">
        <f>Table26912142030405470829811248121620244476[[#This Row],[KM Final]]-Table26912142030405470829811248121620244476[[#This Row],[KM Inicial]]</f>
        <v>2280</v>
      </c>
      <c r="AN122" s="10">
        <v>200</v>
      </c>
      <c r="AO122" s="11">
        <f>Table26912142030405470829811248121620244476[[#This Row],[KM Rodado]]/Table26912142030405470829811248121620244476[[#This Row],[Consumo Lt]]</f>
        <v>11.4</v>
      </c>
      <c r="AP122" s="11">
        <v>48.09</v>
      </c>
      <c r="AQ122" s="12">
        <v>1536.86</v>
      </c>
      <c r="AR122" t="s">
        <v>62</v>
      </c>
      <c r="AS122" s="8">
        <v>6800</v>
      </c>
      <c r="AU122" s="72"/>
      <c r="AV122" s="16">
        <v>46165</v>
      </c>
      <c r="AW122" s="10">
        <f t="shared" si="31"/>
        <v>676699</v>
      </c>
      <c r="AX122" s="10">
        <v>677591</v>
      </c>
      <c r="AY122" s="10">
        <f>Table26912142030405470829811248121620244476140[[#This Row],[KM Final]]-Table26912142030405470829811248121620244476140[[#This Row],[KM Inicial]]</f>
        <v>892</v>
      </c>
      <c r="AZ122" s="10">
        <v>571.36</v>
      </c>
      <c r="BA122" s="11">
        <f>Table26912142030405470829811248121620244476140[[#This Row],[KM Rodado]]/Table26912142030405470829811248121620244476140[[#This Row],[Consumo Lt]]</f>
        <v>1.5611873424810976</v>
      </c>
      <c r="BB122" s="11">
        <v>26.63</v>
      </c>
      <c r="BC122" s="12">
        <v>3388.29</v>
      </c>
      <c r="BE122" s="8"/>
      <c r="BG122" s="72"/>
      <c r="BH122" s="16">
        <v>46200</v>
      </c>
      <c r="BI122" s="18">
        <f>BJ120</f>
        <v>687853</v>
      </c>
      <c r="BJ122" s="18">
        <v>689177</v>
      </c>
      <c r="BK122" s="18">
        <f>Table26912142030405470829811261014182264[[#This Row],[KM Final]]-Table26912142030405470829811261014182264[[#This Row],[KM Inicial]]</f>
        <v>1324</v>
      </c>
      <c r="BL122" s="11">
        <v>402</v>
      </c>
      <c r="BM122" s="11">
        <f>Table26912142030405470829811261014182264[[#This Row],[KM Rodado]]/Table26912142030405470829811261014182264[[#This Row],[Consumo Lt]]</f>
        <v>3.2935323383084576</v>
      </c>
      <c r="BN122" s="11">
        <v>17.489999999999998</v>
      </c>
      <c r="BO122" s="12">
        <v>2682.32</v>
      </c>
      <c r="BP122" t="s">
        <v>25</v>
      </c>
      <c r="BQ122" s="8">
        <v>400</v>
      </c>
    </row>
    <row r="123" spans="1:69">
      <c r="A123" s="72"/>
      <c r="B123" s="16">
        <v>46047</v>
      </c>
      <c r="C123" s="10">
        <f>D122</f>
        <v>621166</v>
      </c>
      <c r="D123" s="10"/>
      <c r="E123" s="10"/>
      <c r="F123" s="10"/>
      <c r="G123" s="11"/>
      <c r="H123" s="11">
        <v>41.52</v>
      </c>
      <c r="I123" s="12">
        <v>3788.54</v>
      </c>
      <c r="K123" s="8"/>
      <c r="M123" s="16">
        <v>46077</v>
      </c>
      <c r="N123" s="10">
        <f t="shared" si="28"/>
        <v>635321</v>
      </c>
      <c r="O123" s="10">
        <v>637628</v>
      </c>
      <c r="P123" s="10">
        <f>Table2691214203040547082981124812162024[[#This Row],[KM Final]]-Table2691214203040547082981124812162024[[#This Row],[KM Inicial]]</f>
        <v>2307</v>
      </c>
      <c r="Q123" s="10">
        <v>483.88</v>
      </c>
      <c r="R123" s="11">
        <f>Table2691214203040547082981124812162024[[#This Row],[KM Rodado]]/Table2691214203040547082981124812162024[[#This Row],[Consumo Lt]]</f>
        <v>4.7677110027279488</v>
      </c>
      <c r="S123" s="11">
        <v>33.57</v>
      </c>
      <c r="T123" s="12">
        <v>3532</v>
      </c>
      <c r="V123" s="8"/>
      <c r="X123" s="72"/>
      <c r="Y123" s="16">
        <v>46105</v>
      </c>
      <c r="Z123" s="10">
        <f t="shared" si="29"/>
        <v>650021</v>
      </c>
      <c r="AA123" s="10">
        <v>652420</v>
      </c>
      <c r="AB123" s="10">
        <f>Table269121420304054708298112481216202444[[#This Row],[KM Final]]-Table269121420304054708298112481216202444[[#This Row],[KM Inicial]]</f>
        <v>2399</v>
      </c>
      <c r="AC123" s="10">
        <v>737.31</v>
      </c>
      <c r="AD123" s="11">
        <f>Table269121420304054708298112481216202444[[#This Row],[KM Rodado]]/Table269121420304054708298112481216202444[[#This Row],[Consumo Lt]]</f>
        <v>3.2537196023382298</v>
      </c>
      <c r="AE123" s="11">
        <v>47.8</v>
      </c>
      <c r="AF123" s="12">
        <v>5517</v>
      </c>
      <c r="AH123" s="8"/>
      <c r="AJ123" s="16">
        <v>46128</v>
      </c>
      <c r="AK123" s="10">
        <f t="shared" si="30"/>
        <v>662613</v>
      </c>
      <c r="AL123" s="10">
        <v>663191</v>
      </c>
      <c r="AM123" s="10">
        <f>Table26912142030405470829811248121620244476[[#This Row],[KM Final]]-Table26912142030405470829811248121620244476[[#This Row],[KM Inicial]]</f>
        <v>578</v>
      </c>
      <c r="AN123" s="10">
        <v>368</v>
      </c>
      <c r="AO123" s="11">
        <f>Table26912142030405470829811248121620244476[[#This Row],[KM Rodado]]/Table26912142030405470829811248121620244476[[#This Row],[Consumo Lt]]</f>
        <v>1.5706521739130435</v>
      </c>
      <c r="AP123" s="11"/>
      <c r="AQ123" s="12">
        <v>2500</v>
      </c>
      <c r="AR123" t="s">
        <v>91</v>
      </c>
      <c r="AS123" s="8">
        <v>60</v>
      </c>
      <c r="AU123" s="72"/>
      <c r="AV123" s="16">
        <v>46171</v>
      </c>
      <c r="AW123" s="10">
        <f t="shared" si="31"/>
        <v>677591</v>
      </c>
      <c r="AX123" s="10">
        <v>680119</v>
      </c>
      <c r="AY123" s="10">
        <f>Table26912142030405470829811248121620244476140[[#This Row],[KM Final]]-Table26912142030405470829811248121620244476140[[#This Row],[KM Inicial]]</f>
        <v>2528</v>
      </c>
      <c r="AZ123" s="10">
        <v>175.37</v>
      </c>
      <c r="BA123" s="11">
        <f>Table26912142030405470829811248121620244476140[[#This Row],[KM Rodado]]/Table26912142030405470829811248121620244476140[[#This Row],[Consumo Lt]]</f>
        <v>14.415236357415749</v>
      </c>
      <c r="BB123" s="11">
        <v>30</v>
      </c>
      <c r="BC123" s="12">
        <v>1300</v>
      </c>
      <c r="BE123" s="8"/>
      <c r="BG123" s="72"/>
      <c r="BH123" s="16"/>
      <c r="BI123" s="55">
        <f>BJ122</f>
        <v>689177</v>
      </c>
      <c r="BJ123" s="18"/>
      <c r="BK123" s="18"/>
      <c r="BL123" s="11"/>
      <c r="BM123" s="69"/>
      <c r="BN123" s="11"/>
      <c r="BO123" s="12"/>
      <c r="BP123" t="s">
        <v>130</v>
      </c>
      <c r="BQ123" s="8">
        <v>35</v>
      </c>
    </row>
    <row r="124" spans="1:69">
      <c r="A124" s="72"/>
      <c r="B124" s="16">
        <v>46051</v>
      </c>
      <c r="C124" s="10">
        <v>621166</v>
      </c>
      <c r="D124" s="10">
        <v>625467</v>
      </c>
      <c r="E124" s="10">
        <f>Table269121420304054708298112610141822[[#This Row],[KM Final]]-Table269121420304054708298112610141822[[#This Row],[KM Inicial]]</f>
        <v>4301</v>
      </c>
      <c r="F124" s="10">
        <v>820.05</v>
      </c>
      <c r="G124" s="11">
        <f>Table269121420304054708298112610141822[[#This Row],[KM Rodado]]/Table269121420304054708298112610141822[[#This Row],[Consumo Lt]]</f>
        <v>5.2448021462105974</v>
      </c>
      <c r="H124" s="11">
        <v>35.590000000000003</v>
      </c>
      <c r="I124" s="12">
        <v>1201.3399999999999</v>
      </c>
      <c r="K124" s="8"/>
      <c r="M124" s="16">
        <v>46080</v>
      </c>
      <c r="N124" s="10">
        <f t="shared" si="28"/>
        <v>637628</v>
      </c>
      <c r="O124" s="10">
        <v>639378</v>
      </c>
      <c r="P124" s="10">
        <f>Table2691214203040547082981124812162024[[#This Row],[KM Final]]-Table2691214203040547082981124812162024[[#This Row],[KM Inicial]]</f>
        <v>1750</v>
      </c>
      <c r="Q124" s="10">
        <v>545.83000000000004</v>
      </c>
      <c r="R124" s="11">
        <f>Table2691214203040547082981124812162024[[#This Row],[KM Rodado]]/Table2691214203040547082981124812162024[[#This Row],[Consumo Lt]]</f>
        <v>3.2061264496271731</v>
      </c>
      <c r="S124" s="11">
        <v>37.79</v>
      </c>
      <c r="T124" s="12">
        <v>3055</v>
      </c>
      <c r="V124" s="8"/>
      <c r="X124" s="72"/>
      <c r="Y124" s="16">
        <v>46109</v>
      </c>
      <c r="Z124" s="10">
        <f t="shared" si="29"/>
        <v>652420</v>
      </c>
      <c r="AA124" s="10">
        <v>654046</v>
      </c>
      <c r="AB124" s="10">
        <f>Table269121420304054708298112481216202444[[#This Row],[KM Final]]-Table269121420304054708298112481216202444[[#This Row],[KM Inicial]]</f>
        <v>1626</v>
      </c>
      <c r="AC124" s="10">
        <v>444.77</v>
      </c>
      <c r="AD124" s="11">
        <f>Table269121420304054708298112481216202444[[#This Row],[KM Rodado]]/Table269121420304054708298112481216202444[[#This Row],[Consumo Lt]]</f>
        <v>3.6558221103042023</v>
      </c>
      <c r="AE124" s="11">
        <v>28.41</v>
      </c>
      <c r="AF124" s="12">
        <v>3208</v>
      </c>
      <c r="AH124" s="8"/>
      <c r="AJ124" s="16">
        <v>46128</v>
      </c>
      <c r="AK124" s="10">
        <f t="shared" si="30"/>
        <v>663191</v>
      </c>
      <c r="AL124" s="10">
        <v>663376</v>
      </c>
      <c r="AM124" s="10">
        <f>Table26912142030405470829811248121620244476[[#This Row],[KM Final]]-Table26912142030405470829811248121620244476[[#This Row],[KM Inicial]]</f>
        <v>185</v>
      </c>
      <c r="AN124" s="10">
        <v>340</v>
      </c>
      <c r="AO124" s="11">
        <f>Table26912142030405470829811248121620244476[[#This Row],[KM Rodado]]/Table26912142030405470829811248121620244476[[#This Row],[Consumo Lt]]</f>
        <v>0.54411764705882348</v>
      </c>
      <c r="AP124" s="11">
        <v>15.99</v>
      </c>
      <c r="AQ124" s="12">
        <v>2364.06</v>
      </c>
      <c r="AS124" s="8"/>
      <c r="AU124" s="72"/>
      <c r="AV124" s="16">
        <v>46171</v>
      </c>
      <c r="AW124" s="10">
        <f t="shared" si="31"/>
        <v>680119</v>
      </c>
      <c r="AX124" s="10">
        <v>680595</v>
      </c>
      <c r="AY124" s="10">
        <f>Table26912142030405470829811248121620244476140[[#This Row],[KM Final]]-Table26912142030405470829811248121620244476140[[#This Row],[KM Inicial]]</f>
        <v>476</v>
      </c>
      <c r="AZ124" s="10">
        <v>670</v>
      </c>
      <c r="BA124" s="11">
        <f>Table26912142030405470829811248121620244476140[[#This Row],[KM Rodado]]/Table26912142030405470829811248121620244476140[[#This Row],[Consumo Lt]]</f>
        <v>0.71044776119402986</v>
      </c>
      <c r="BB124" s="11">
        <v>23.57</v>
      </c>
      <c r="BC124" s="12">
        <v>4414.83</v>
      </c>
      <c r="BE124" s="8"/>
      <c r="BG124" s="72"/>
      <c r="BH124" s="16"/>
      <c r="BI124" s="55"/>
      <c r="BJ124" s="18"/>
      <c r="BK124" s="18"/>
      <c r="BL124" s="11"/>
      <c r="BM124" s="11"/>
      <c r="BN124" s="11"/>
      <c r="BO124" s="12"/>
      <c r="BP124" t="s">
        <v>131</v>
      </c>
      <c r="BQ124" s="8">
        <v>60</v>
      </c>
    </row>
    <row r="125" spans="1:69">
      <c r="A125" s="72"/>
      <c r="B125" s="16">
        <v>46053</v>
      </c>
      <c r="C125" s="10">
        <f>D124</f>
        <v>625467</v>
      </c>
      <c r="D125" s="10">
        <v>626367</v>
      </c>
      <c r="E125" s="10">
        <f>Table269121420304054708298112610141822[[#This Row],[KM Final]]-Table269121420304054708298112610141822[[#This Row],[KM Inicial]]</f>
        <v>900</v>
      </c>
      <c r="F125" s="10">
        <v>697.45</v>
      </c>
      <c r="G125" s="11">
        <f>Table269121420304054708298112610141822[[#This Row],[KM Rodado]]/Table269121420304054708298112610141822[[#This Row],[Consumo Lt]]</f>
        <v>1.2904150835185317</v>
      </c>
      <c r="H125" s="11">
        <v>22.74</v>
      </c>
      <c r="I125" s="12">
        <v>3920.33</v>
      </c>
      <c r="K125" s="8"/>
      <c r="M125" s="16"/>
      <c r="N125" s="19">
        <f t="shared" si="28"/>
        <v>639378</v>
      </c>
      <c r="O125" s="10"/>
      <c r="P125" s="10"/>
      <c r="Q125" s="10"/>
      <c r="R125" s="11"/>
      <c r="S125" s="11"/>
      <c r="T125" s="12"/>
      <c r="V125" s="8"/>
      <c r="X125" s="72"/>
      <c r="Y125" s="16"/>
      <c r="Z125" s="19">
        <f t="shared" si="29"/>
        <v>654046</v>
      </c>
      <c r="AA125" s="10"/>
      <c r="AB125" s="10"/>
      <c r="AC125" s="10"/>
      <c r="AD125" s="11"/>
      <c r="AE125" s="11"/>
      <c r="AF125" s="12"/>
      <c r="AH125" s="8"/>
      <c r="AJ125" s="16">
        <v>46133</v>
      </c>
      <c r="AK125" s="10">
        <f t="shared" si="30"/>
        <v>663376</v>
      </c>
      <c r="AL125" s="10">
        <v>665919</v>
      </c>
      <c r="AM125" s="10">
        <f>Table26912142030405470829811248121620244476[[#This Row],[KM Final]]-Table26912142030405470829811248121620244476[[#This Row],[KM Inicial]]</f>
        <v>2543</v>
      </c>
      <c r="AN125" s="10">
        <v>729.06</v>
      </c>
      <c r="AO125" s="11">
        <f>Table26912142030405470829811248121620244476[[#This Row],[KM Rodado]]/Table26912142030405470829811248121620244476[[#This Row],[Consumo Lt]]</f>
        <v>3.4880531094834448</v>
      </c>
      <c r="AP125" s="11">
        <v>46.54</v>
      </c>
      <c r="AQ125" s="12">
        <v>5117.0600000000004</v>
      </c>
      <c r="AS125" s="8"/>
      <c r="AU125" s="72"/>
      <c r="AV125" s="16"/>
      <c r="AW125" s="19">
        <f t="shared" si="31"/>
        <v>680595</v>
      </c>
      <c r="AX125" s="10"/>
      <c r="AY125" s="10"/>
      <c r="AZ125" s="10"/>
      <c r="BA125" s="11"/>
      <c r="BB125" s="11"/>
      <c r="BC125" s="12"/>
      <c r="BE125" s="8"/>
      <c r="BG125" s="72"/>
      <c r="BH125" s="16"/>
      <c r="BI125" s="18"/>
      <c r="BJ125" s="18"/>
      <c r="BK125" s="18"/>
      <c r="BL125" s="11"/>
      <c r="BM125" s="11"/>
      <c r="BN125" s="11"/>
      <c r="BO125" s="12"/>
      <c r="BP125" t="s">
        <v>132</v>
      </c>
      <c r="BQ125" s="8">
        <v>120</v>
      </c>
    </row>
    <row r="126" spans="1:69">
      <c r="A126" s="72"/>
      <c r="B126" s="10"/>
      <c r="C126" s="10">
        <f>D125</f>
        <v>626367</v>
      </c>
      <c r="D126" s="10"/>
      <c r="E126" s="10"/>
      <c r="F126" s="10"/>
      <c r="G126" s="11"/>
      <c r="H126" s="11"/>
      <c r="I126" s="12"/>
      <c r="K126" s="8"/>
      <c r="M126" s="10"/>
      <c r="N126" s="10"/>
      <c r="O126" s="10"/>
      <c r="P126" s="10"/>
      <c r="Q126" s="10"/>
      <c r="R126" s="11"/>
      <c r="S126" s="11"/>
      <c r="T126" s="12"/>
      <c r="V126" s="8"/>
      <c r="X126" s="72"/>
      <c r="Y126" s="10"/>
      <c r="Z126" s="10"/>
      <c r="AA126" s="10"/>
      <c r="AB126" s="10"/>
      <c r="AC126" s="10"/>
      <c r="AD126" s="11"/>
      <c r="AE126" s="11"/>
      <c r="AF126" s="12"/>
      <c r="AH126" s="8"/>
      <c r="AJ126" s="16">
        <v>46139</v>
      </c>
      <c r="AK126" s="10">
        <f t="shared" si="30"/>
        <v>665919</v>
      </c>
      <c r="AL126" s="10">
        <v>668138</v>
      </c>
      <c r="AM126" s="10">
        <f>Table26912142030405470829811248121620244476[[#This Row],[KM Final]]-Table26912142030405470829811248121620244476[[#This Row],[KM Inicial]]</f>
        <v>2219</v>
      </c>
      <c r="AN126" s="10">
        <v>300</v>
      </c>
      <c r="AO126" s="11">
        <f>Table26912142030405470829811248121620244476[[#This Row],[KM Rodado]]/Table26912142030405470829811248121620244476[[#This Row],[Consumo Lt]]</f>
        <v>7.3966666666666665</v>
      </c>
      <c r="AP126" s="11">
        <v>45.94</v>
      </c>
      <c r="AQ126" s="12">
        <v>2190.3200000000002</v>
      </c>
      <c r="AS126" s="8"/>
      <c r="AU126" s="72"/>
      <c r="AV126" s="16"/>
      <c r="AW126" s="10"/>
      <c r="AX126" s="10"/>
      <c r="AY126" s="10"/>
      <c r="AZ126" s="10"/>
      <c r="BA126" s="11"/>
      <c r="BB126" s="11"/>
      <c r="BC126" s="12"/>
      <c r="BE126" s="8"/>
      <c r="BG126" s="72"/>
      <c r="BH126" s="10"/>
      <c r="BI126" s="18"/>
      <c r="BJ126" s="18"/>
      <c r="BK126" s="18"/>
      <c r="BL126" s="11"/>
      <c r="BM126" s="11"/>
      <c r="BN126" s="11"/>
      <c r="BO126" s="12"/>
      <c r="BQ126" s="8"/>
    </row>
    <row r="127" spans="1:69">
      <c r="A127" s="72"/>
      <c r="B127" s="16"/>
      <c r="C127" s="10"/>
      <c r="D127" s="10"/>
      <c r="E127" s="10"/>
      <c r="F127" s="10"/>
      <c r="G127" s="11"/>
      <c r="H127" s="11"/>
      <c r="I127" s="12"/>
      <c r="K127" s="8"/>
      <c r="M127" s="16"/>
      <c r="N127" s="10"/>
      <c r="O127" s="10"/>
      <c r="P127" s="10"/>
      <c r="Q127" s="10"/>
      <c r="R127" s="11"/>
      <c r="S127" s="11"/>
      <c r="T127" s="12"/>
      <c r="V127" s="8"/>
      <c r="X127" s="72"/>
      <c r="Y127" s="16"/>
      <c r="Z127" s="10"/>
      <c r="AA127" s="10"/>
      <c r="AB127" s="10"/>
      <c r="AC127" s="10"/>
      <c r="AD127" s="11"/>
      <c r="AE127" s="11"/>
      <c r="AF127" s="12"/>
      <c r="AH127" s="8"/>
      <c r="AJ127" s="16">
        <v>46142</v>
      </c>
      <c r="AK127" s="10">
        <f t="shared" si="30"/>
        <v>668138</v>
      </c>
      <c r="AL127" s="10">
        <v>669333</v>
      </c>
      <c r="AM127" s="10">
        <f>Table26912142030405470829811248121620244476[[#This Row],[KM Final]]-Table26912142030405470829811248121620244476[[#This Row],[KM Inicial]]</f>
        <v>1195</v>
      </c>
      <c r="AN127" s="10">
        <v>200</v>
      </c>
      <c r="AO127" s="11">
        <f>Table26912142030405470829811248121620244476[[#This Row],[KM Rodado]]/Table26912142030405470829811248121620244476[[#This Row],[Consumo Lt]]</f>
        <v>5.9749999999999996</v>
      </c>
      <c r="AP127" s="11"/>
      <c r="AQ127" s="12">
        <v>1350</v>
      </c>
      <c r="AS127" s="8"/>
      <c r="AU127" s="72"/>
      <c r="AV127" s="16"/>
      <c r="AW127" s="10"/>
      <c r="AX127" s="10"/>
      <c r="AY127" s="10"/>
      <c r="AZ127" s="10"/>
      <c r="BA127" s="11"/>
      <c r="BB127" s="11"/>
      <c r="BC127" s="12"/>
      <c r="BE127" s="8"/>
      <c r="BG127" s="72"/>
      <c r="BH127" s="16"/>
      <c r="BI127" s="18"/>
      <c r="BJ127" s="18"/>
      <c r="BK127" s="18"/>
      <c r="BL127" s="11"/>
      <c r="BM127" s="11"/>
      <c r="BN127" s="11"/>
      <c r="BO127" s="12"/>
      <c r="BQ127" s="8"/>
    </row>
    <row r="128" spans="1:69">
      <c r="A128" s="72"/>
      <c r="B128" s="16"/>
      <c r="C128" s="10"/>
      <c r="D128" s="10"/>
      <c r="E128" s="10"/>
      <c r="F128" s="10"/>
      <c r="G128" s="11"/>
      <c r="H128" s="11"/>
      <c r="I128" s="12"/>
      <c r="K128" s="8"/>
      <c r="M128" s="16"/>
      <c r="N128" s="10"/>
      <c r="O128" s="10"/>
      <c r="P128" s="10"/>
      <c r="Q128" s="10"/>
      <c r="R128" s="11"/>
      <c r="S128" s="11"/>
      <c r="T128" s="12"/>
      <c r="V128" s="8"/>
      <c r="X128" s="72"/>
      <c r="Y128" s="16"/>
      <c r="Z128" s="10"/>
      <c r="AA128" s="10"/>
      <c r="AB128" s="10"/>
      <c r="AC128" s="10"/>
      <c r="AD128" s="11"/>
      <c r="AE128" s="11"/>
      <c r="AF128" s="12"/>
      <c r="AH128" s="8"/>
      <c r="AJ128" s="16">
        <v>46142</v>
      </c>
      <c r="AK128" s="10">
        <f t="shared" si="30"/>
        <v>669333</v>
      </c>
      <c r="AL128" s="10">
        <v>669535</v>
      </c>
      <c r="AM128" s="10">
        <f>Table26912142030405470829811248121620244476[[#This Row],[KM Final]]-Table26912142030405470829811248121620244476[[#This Row],[KM Inicial]]</f>
        <v>202</v>
      </c>
      <c r="AN128" s="10">
        <v>609.9</v>
      </c>
      <c r="AO128" s="11">
        <f>Table26912142030405470829811248121620244476[[#This Row],[KM Rodado]]/Table26912142030405470829811248121620244476[[#This Row],[Consumo Lt]]</f>
        <v>0.33120183636661749</v>
      </c>
      <c r="AP128" s="11">
        <v>23.2</v>
      </c>
      <c r="AQ128" s="12">
        <v>4073.17</v>
      </c>
      <c r="AS128" s="8"/>
      <c r="AU128" s="72"/>
      <c r="AV128" s="16"/>
      <c r="AW128" s="10"/>
      <c r="AX128" s="10"/>
      <c r="AY128" s="10"/>
      <c r="AZ128" s="10"/>
      <c r="BA128" s="11"/>
      <c r="BB128" s="11"/>
      <c r="BC128" s="12"/>
      <c r="BE128" s="8"/>
      <c r="BG128" s="72"/>
      <c r="BH128" s="16"/>
      <c r="BI128" s="18"/>
      <c r="BJ128" s="18"/>
      <c r="BK128" s="18"/>
      <c r="BL128" s="11"/>
      <c r="BM128" s="11"/>
      <c r="BN128" s="11"/>
      <c r="BO128" s="12"/>
      <c r="BQ128" s="8"/>
    </row>
    <row r="129" spans="1:69">
      <c r="A129" s="72"/>
      <c r="B129" s="16"/>
      <c r="C129" s="10"/>
      <c r="D129" s="10"/>
      <c r="E129" s="10"/>
      <c r="F129" s="10"/>
      <c r="G129" s="11"/>
      <c r="H129" s="11"/>
      <c r="I129" s="12"/>
      <c r="K129" s="14"/>
      <c r="M129" s="16"/>
      <c r="N129" s="10"/>
      <c r="O129" s="10"/>
      <c r="P129" s="10"/>
      <c r="Q129" s="10"/>
      <c r="R129" s="11"/>
      <c r="S129" s="11"/>
      <c r="T129" s="12"/>
      <c r="V129" s="14"/>
      <c r="X129" s="72"/>
      <c r="Y129" s="16"/>
      <c r="Z129" s="10"/>
      <c r="AA129" s="10"/>
      <c r="AB129" s="10"/>
      <c r="AC129" s="10"/>
      <c r="AD129" s="11"/>
      <c r="AE129" s="11"/>
      <c r="AF129" s="12"/>
      <c r="AH129" s="14"/>
      <c r="AJ129" s="16"/>
      <c r="AK129" s="19">
        <f>AL128</f>
        <v>669535</v>
      </c>
      <c r="AL129" s="10"/>
      <c r="AM129" s="10"/>
      <c r="AN129" s="10"/>
      <c r="AO129" s="11"/>
      <c r="AP129" s="11"/>
      <c r="AQ129" s="12"/>
      <c r="AS129" s="14"/>
      <c r="AU129" s="72"/>
      <c r="AV129" s="16"/>
      <c r="AW129" s="19"/>
      <c r="AX129" s="10"/>
      <c r="AY129" s="10"/>
      <c r="AZ129" s="10"/>
      <c r="BA129" s="11"/>
      <c r="BB129" s="11"/>
      <c r="BC129" s="12"/>
      <c r="BE129" s="14"/>
      <c r="BG129" s="72"/>
      <c r="BH129" s="16"/>
      <c r="BI129" s="18"/>
      <c r="BJ129" s="18"/>
      <c r="BK129" s="18"/>
      <c r="BL129" s="11"/>
      <c r="BM129" s="11"/>
      <c r="BN129" s="11"/>
      <c r="BO129" s="12"/>
      <c r="BQ129" s="14"/>
    </row>
    <row r="130" spans="1:69">
      <c r="A130" s="72"/>
      <c r="B130" s="16"/>
      <c r="C130" s="10"/>
      <c r="D130" s="10"/>
      <c r="E130" s="10"/>
      <c r="F130" s="10"/>
      <c r="G130" s="11"/>
      <c r="H130" s="11"/>
      <c r="I130" s="12"/>
      <c r="K130" s="8"/>
      <c r="M130" s="16"/>
      <c r="N130" s="10"/>
      <c r="O130" s="10"/>
      <c r="P130" s="10"/>
      <c r="Q130" s="10"/>
      <c r="R130" s="11"/>
      <c r="S130" s="11"/>
      <c r="T130" s="12"/>
      <c r="V130" s="8"/>
      <c r="X130" s="72"/>
      <c r="Y130" s="16"/>
      <c r="Z130" s="10"/>
      <c r="AA130" s="10"/>
      <c r="AB130" s="10"/>
      <c r="AC130" s="10"/>
      <c r="AD130" s="11"/>
      <c r="AE130" s="11"/>
      <c r="AF130" s="12"/>
      <c r="AH130" s="8"/>
      <c r="AJ130" s="16"/>
      <c r="AK130" s="10"/>
      <c r="AL130" s="10"/>
      <c r="AM130" s="10"/>
      <c r="AN130" s="10"/>
      <c r="AO130" s="11"/>
      <c r="AP130" s="11"/>
      <c r="AQ130" s="12"/>
      <c r="AS130" s="8"/>
      <c r="AU130" s="72"/>
      <c r="AV130" s="16"/>
      <c r="AW130" s="10"/>
      <c r="AX130" s="10"/>
      <c r="AY130" s="10"/>
      <c r="AZ130" s="10"/>
      <c r="BA130" s="11"/>
      <c r="BB130" s="11"/>
      <c r="BC130" s="12"/>
      <c r="BE130" s="8"/>
      <c r="BG130" s="72"/>
      <c r="BH130" s="16"/>
      <c r="BI130" s="18"/>
      <c r="BJ130" s="18"/>
      <c r="BK130" s="18"/>
      <c r="BL130" s="11"/>
      <c r="BM130" s="11"/>
      <c r="BN130" s="11"/>
      <c r="BO130" s="12"/>
      <c r="BQ130" s="8"/>
    </row>
    <row r="131" spans="1:69">
      <c r="A131" s="72"/>
      <c r="B131" s="10"/>
      <c r="C131" s="10"/>
      <c r="D131" s="10"/>
      <c r="E131" s="10"/>
      <c r="F131" s="10"/>
      <c r="G131" s="11"/>
      <c r="H131" s="11"/>
      <c r="I131" s="12"/>
      <c r="K131" s="8"/>
      <c r="M131" s="10"/>
      <c r="N131" s="10"/>
      <c r="O131" s="10"/>
      <c r="P131" s="10"/>
      <c r="Q131" s="10"/>
      <c r="R131" s="11"/>
      <c r="S131" s="11"/>
      <c r="T131" s="12"/>
      <c r="V131" s="8"/>
      <c r="X131" s="72"/>
      <c r="Y131" s="10"/>
      <c r="Z131" s="10"/>
      <c r="AA131" s="10"/>
      <c r="AB131" s="10"/>
      <c r="AC131" s="10"/>
      <c r="AD131" s="11"/>
      <c r="AE131" s="11"/>
      <c r="AF131" s="12"/>
      <c r="AH131" s="8"/>
      <c r="AJ131" s="10"/>
      <c r="AK131" s="10"/>
      <c r="AL131" s="10"/>
      <c r="AM131" s="10"/>
      <c r="AN131" s="10"/>
      <c r="AO131" s="11"/>
      <c r="AP131" s="11"/>
      <c r="AQ131" s="12"/>
      <c r="AS131" s="8"/>
      <c r="AU131" s="72"/>
      <c r="AV131" s="10"/>
      <c r="AW131" s="10"/>
      <c r="AX131" s="10"/>
      <c r="AY131" s="10"/>
      <c r="AZ131" s="10"/>
      <c r="BA131" s="11"/>
      <c r="BB131" s="11"/>
      <c r="BC131" s="12"/>
      <c r="BE131" s="8"/>
      <c r="BG131" s="72"/>
      <c r="BH131" s="10"/>
      <c r="BI131" s="18"/>
      <c r="BJ131" s="18"/>
      <c r="BK131" s="18"/>
      <c r="BL131" s="11"/>
      <c r="BM131" s="11"/>
      <c r="BN131" s="11"/>
      <c r="BO131" s="12"/>
      <c r="BQ131" s="8"/>
    </row>
    <row r="132" spans="1:69">
      <c r="A132" s="72"/>
      <c r="B132" s="10"/>
      <c r="C132" s="10"/>
      <c r="D132" s="10"/>
      <c r="E132" s="10"/>
      <c r="F132" s="10"/>
      <c r="G132" s="11"/>
      <c r="H132" s="11"/>
      <c r="I132" s="12"/>
      <c r="K132" s="8"/>
      <c r="M132" s="10"/>
      <c r="N132" s="10"/>
      <c r="O132" s="10"/>
      <c r="P132" s="10"/>
      <c r="Q132" s="10"/>
      <c r="R132" s="11"/>
      <c r="S132" s="11"/>
      <c r="T132" s="12"/>
      <c r="V132" s="8"/>
      <c r="X132" s="72"/>
      <c r="Y132" s="10"/>
      <c r="Z132" s="10"/>
      <c r="AA132" s="10"/>
      <c r="AB132" s="10"/>
      <c r="AC132" s="10"/>
      <c r="AD132" s="11"/>
      <c r="AE132" s="11"/>
      <c r="AF132" s="12"/>
      <c r="AH132" s="8"/>
      <c r="AJ132" s="10"/>
      <c r="AK132" s="10"/>
      <c r="AL132" s="10"/>
      <c r="AM132" s="10"/>
      <c r="AN132" s="10"/>
      <c r="AO132" s="11"/>
      <c r="AP132" s="11"/>
      <c r="AQ132" s="12"/>
      <c r="AS132" s="8"/>
      <c r="AU132" s="72"/>
      <c r="AV132" s="10"/>
      <c r="AW132" s="10"/>
      <c r="AX132" s="10"/>
      <c r="AY132" s="10"/>
      <c r="AZ132" s="10"/>
      <c r="BA132" s="11"/>
      <c r="BB132" s="11"/>
      <c r="BC132" s="12"/>
      <c r="BE132" s="8"/>
      <c r="BG132" s="72"/>
      <c r="BH132" s="10"/>
      <c r="BI132" s="18"/>
      <c r="BJ132" s="18"/>
      <c r="BK132" s="18"/>
      <c r="BL132" s="11"/>
      <c r="BM132" s="11"/>
      <c r="BN132" s="11"/>
      <c r="BO132" s="12"/>
      <c r="BQ132" s="8"/>
    </row>
    <row r="133" spans="1:69">
      <c r="A133" s="72"/>
      <c r="B133" s="10"/>
      <c r="C133" s="10"/>
      <c r="D133" s="10"/>
      <c r="E133" s="10"/>
      <c r="F133" s="10"/>
      <c r="G133" s="11"/>
      <c r="H133" s="11"/>
      <c r="I133" s="12"/>
      <c r="K133" s="8"/>
      <c r="M133" s="10"/>
      <c r="N133" s="10"/>
      <c r="O133" s="10"/>
      <c r="P133" s="10"/>
      <c r="Q133" s="10"/>
      <c r="R133" s="11"/>
      <c r="S133" s="11"/>
      <c r="T133" s="12"/>
      <c r="V133" s="8"/>
      <c r="X133" s="72"/>
      <c r="Y133" s="10"/>
      <c r="Z133" s="10"/>
      <c r="AA133" s="10"/>
      <c r="AB133" s="10"/>
      <c r="AC133" s="10"/>
      <c r="AD133" s="11"/>
      <c r="AE133" s="11"/>
      <c r="AF133" s="12"/>
      <c r="AH133" s="8"/>
      <c r="AJ133" s="10"/>
      <c r="AK133" s="10"/>
      <c r="AL133" s="10"/>
      <c r="AM133" s="10"/>
      <c r="AN133" s="10"/>
      <c r="AO133" s="11"/>
      <c r="AP133" s="11"/>
      <c r="AQ133" s="12"/>
      <c r="AS133" s="8"/>
      <c r="AU133" s="72"/>
      <c r="AV133" s="10"/>
      <c r="AW133" s="10"/>
      <c r="AX133" s="10"/>
      <c r="AY133" s="10"/>
      <c r="AZ133" s="10"/>
      <c r="BA133" s="11"/>
      <c r="BB133" s="11"/>
      <c r="BC133" s="12"/>
      <c r="BE133" s="8"/>
      <c r="BG133" s="72"/>
      <c r="BH133" s="10"/>
      <c r="BI133" s="18"/>
      <c r="BJ133" s="18"/>
      <c r="BK133" s="18"/>
      <c r="BL133" s="11"/>
      <c r="BM133" s="11"/>
      <c r="BN133" s="11"/>
      <c r="BO133" s="12"/>
      <c r="BQ133" s="8"/>
    </row>
    <row r="134" spans="1:69">
      <c r="A134" s="72"/>
      <c r="B134" s="10"/>
      <c r="C134" s="10"/>
      <c r="D134" s="10"/>
      <c r="E134" s="10"/>
      <c r="F134" s="10"/>
      <c r="G134" s="11"/>
      <c r="H134" s="11"/>
      <c r="I134" s="12"/>
      <c r="K134" s="8"/>
      <c r="M134" s="10"/>
      <c r="N134" s="10"/>
      <c r="O134" s="10"/>
      <c r="P134" s="10"/>
      <c r="Q134" s="10"/>
      <c r="R134" s="11"/>
      <c r="S134" s="11"/>
      <c r="T134" s="12"/>
      <c r="V134" s="8"/>
      <c r="X134" s="72"/>
      <c r="Y134" s="10"/>
      <c r="Z134" s="10"/>
      <c r="AA134" s="10"/>
      <c r="AB134" s="10"/>
      <c r="AC134" s="10"/>
      <c r="AD134" s="11"/>
      <c r="AE134" s="11"/>
      <c r="AF134" s="12"/>
      <c r="AH134" s="8"/>
      <c r="AJ134" s="10"/>
      <c r="AK134" s="10"/>
      <c r="AL134" s="10"/>
      <c r="AM134" s="10"/>
      <c r="AN134" s="10"/>
      <c r="AO134" s="11"/>
      <c r="AP134" s="11"/>
      <c r="AQ134" s="12"/>
      <c r="AS134" s="8"/>
      <c r="AU134" s="72"/>
      <c r="AV134" s="10"/>
      <c r="AW134" s="10"/>
      <c r="AX134" s="10"/>
      <c r="AY134" s="10"/>
      <c r="AZ134" s="10"/>
      <c r="BA134" s="11"/>
      <c r="BB134" s="11"/>
      <c r="BC134" s="12"/>
      <c r="BE134" s="8"/>
      <c r="BG134" s="72"/>
      <c r="BH134" s="10"/>
      <c r="BI134" s="18"/>
      <c r="BJ134" s="18"/>
      <c r="BK134" s="18"/>
      <c r="BL134" s="11"/>
      <c r="BM134" s="11"/>
      <c r="BN134" s="11"/>
      <c r="BO134" s="12"/>
      <c r="BQ134" s="8"/>
    </row>
    <row r="135" spans="1:69">
      <c r="A135" s="72"/>
      <c r="B135" s="20"/>
      <c r="C135" s="20"/>
      <c r="D135" s="25"/>
      <c r="E135" s="25">
        <f>SUM(E118:E134)</f>
        <v>12517</v>
      </c>
      <c r="F135" s="25">
        <f>SUM(F118:F134)</f>
        <v>3688.63</v>
      </c>
      <c r="G135" s="29">
        <f>Table269121420304054708298112610141822[[#This Row],[KM Rodado]]/Table269121420304054708298112610141822[[#This Row],[Consumo Lt]]</f>
        <v>3.3934008019237494</v>
      </c>
      <c r="H135" s="20"/>
      <c r="I135" s="26">
        <f>SUM(I118:I134)</f>
        <v>21620.050000000003</v>
      </c>
      <c r="J135" s="21" t="s">
        <v>10</v>
      </c>
      <c r="K135" s="21">
        <f>SUM(K118:K134)</f>
        <v>6332</v>
      </c>
      <c r="M135" s="20"/>
      <c r="N135" s="20"/>
      <c r="O135" s="25"/>
      <c r="P135" s="25">
        <f>SUM(P118:P134)</f>
        <v>13011</v>
      </c>
      <c r="Q135" s="25">
        <f>SUM(Q118:Q134)</f>
        <v>3747.6800000000003</v>
      </c>
      <c r="R135" s="20">
        <f>Table2691214203040547082981124812162024[[#This Row],[KM Rodado]]/Table2691214203040547082981124812162024[[#This Row],[Consumo Lt]]</f>
        <v>3.4717478546727571</v>
      </c>
      <c r="S135" s="29">
        <f>SUM(S118:S134)</f>
        <v>244.69</v>
      </c>
      <c r="T135" s="20">
        <f>SUM(T118:T134)</f>
        <v>22275.27</v>
      </c>
      <c r="U135" s="21" t="s">
        <v>10</v>
      </c>
      <c r="V135" s="21">
        <f>SUM(V118:V134)</f>
        <v>1224</v>
      </c>
      <c r="X135" s="72"/>
      <c r="Y135" s="20"/>
      <c r="Z135" s="20"/>
      <c r="AA135" s="25"/>
      <c r="AB135" s="25">
        <f>SUM(AB118:AB134)</f>
        <v>14668</v>
      </c>
      <c r="AC135" s="25">
        <f>SUM(AC118:AC134)</f>
        <v>4231.4399999999996</v>
      </c>
      <c r="AD135" s="20">
        <f>Table269121420304054708298112481216202444[[#This Row],[KM Rodado]]/Table269121420304054708298112481216202444[[#This Row],[Consumo Lt]]</f>
        <v>3.4664322311080866</v>
      </c>
      <c r="AE135" s="29">
        <f>SUM(AE118:AE134)</f>
        <v>291.81</v>
      </c>
      <c r="AF135" s="20">
        <f>SUM(AF118:AF134)</f>
        <v>29288</v>
      </c>
      <c r="AG135" s="21" t="s">
        <v>10</v>
      </c>
      <c r="AH135" s="21">
        <f>SUM(AH118:AH134)</f>
        <v>1374</v>
      </c>
      <c r="AJ135" s="20"/>
      <c r="AK135" s="20"/>
      <c r="AL135" s="25"/>
      <c r="AM135" s="25">
        <f>SUM(AM118:AM134)</f>
        <v>15489</v>
      </c>
      <c r="AN135" s="25">
        <f>SUM(AN118:AN134)</f>
        <v>4657.0599999999995</v>
      </c>
      <c r="AO135" s="20">
        <f>Table26912142030405470829811248121620244476[[#This Row],[KM Rodado]]/Table26912142030405470829811248121620244476[[#This Row],[Consumo Lt]]</f>
        <v>3.3259180684809735</v>
      </c>
      <c r="AP135" s="29">
        <f>SUM(AP118:AP134)</f>
        <v>271.94</v>
      </c>
      <c r="AQ135" s="20">
        <f>SUM(AQ118:AQ134)</f>
        <v>32740.350000000006</v>
      </c>
      <c r="AR135" s="21"/>
      <c r="AS135" s="21"/>
      <c r="AU135" s="72"/>
      <c r="AV135" s="20"/>
      <c r="AW135" s="20"/>
      <c r="AX135" s="25"/>
      <c r="AY135" s="25">
        <f>AW125-AW118</f>
        <v>11060</v>
      </c>
      <c r="AZ135" s="25">
        <f>SUM(AZ118:AZ134)</f>
        <v>3238.88</v>
      </c>
      <c r="BA135" s="20">
        <f>Table26912142030405470829811248121620244476140[[#This Row],[KM Rodado]]/Table26912142030405470829811248121620244476140[[#This Row],[Consumo Lt]]</f>
        <v>3.4147606580052363</v>
      </c>
      <c r="BB135" s="29">
        <f>SUM(BB118:BB134)</f>
        <v>202.48</v>
      </c>
      <c r="BC135" s="20">
        <f>SUM(BC118:BC134)</f>
        <v>21501.050000000003</v>
      </c>
      <c r="BD135" s="21" t="s">
        <v>75</v>
      </c>
      <c r="BE135" s="21">
        <f>SUM(BE118:BE134)</f>
        <v>1604</v>
      </c>
      <c r="BG135" s="72"/>
      <c r="BH135" s="20"/>
      <c r="BI135" s="25"/>
      <c r="BJ135" s="25"/>
      <c r="BK135" s="25">
        <f>BI123-BI118</f>
        <v>8582</v>
      </c>
      <c r="BL135" s="29">
        <f>SUM(BL118:BL134)</f>
        <v>3201.95</v>
      </c>
      <c r="BM135" s="29">
        <f>Table26912142030405470829811261014182264[[#This Row],[KM Rodado]]/Table26912142030405470829811261014182264[[#This Row],[Consumo Lt]]</f>
        <v>2.6802417276971848</v>
      </c>
      <c r="BN135" s="29">
        <f>SUM(BN118:BN134)</f>
        <v>111.33999999999999</v>
      </c>
      <c r="BO135" s="26">
        <f>SUM(BO118:BO134)</f>
        <v>20814.419999999998</v>
      </c>
      <c r="BP135" s="21" t="s">
        <v>10</v>
      </c>
      <c r="BQ135" s="21">
        <f>SUM(BQ118:BQ134)</f>
        <v>2211</v>
      </c>
    </row>
    <row r="138" spans="1:69" ht="33.75" customHeight="1">
      <c r="B138" s="71">
        <v>46023</v>
      </c>
      <c r="C138" s="71"/>
      <c r="D138" s="71"/>
      <c r="E138" s="71"/>
      <c r="F138" s="71"/>
      <c r="G138" s="71"/>
      <c r="H138" s="71"/>
      <c r="I138" s="71"/>
      <c r="J138" s="71"/>
      <c r="L138" s="71">
        <v>46054</v>
      </c>
      <c r="M138" s="71"/>
      <c r="N138" s="71"/>
      <c r="O138" s="71"/>
      <c r="P138" s="71"/>
      <c r="Q138" s="71"/>
      <c r="R138" s="71"/>
      <c r="S138" s="71"/>
      <c r="T138" s="71"/>
      <c r="Y138" s="71">
        <v>46082</v>
      </c>
      <c r="Z138" s="71"/>
      <c r="AA138" s="71"/>
      <c r="AB138" s="71"/>
      <c r="AC138" s="71"/>
      <c r="AD138" s="71"/>
      <c r="AE138" s="71"/>
      <c r="AF138" s="71"/>
      <c r="AG138" s="71"/>
      <c r="AI138" s="73">
        <v>46113</v>
      </c>
      <c r="AJ138" s="73"/>
      <c r="AK138" s="73"/>
      <c r="AL138" s="73"/>
      <c r="AM138" s="73"/>
      <c r="AN138" s="73"/>
      <c r="AO138" s="73"/>
      <c r="AP138" s="73"/>
      <c r="AQ138" s="73"/>
      <c r="AU138" s="73">
        <v>46143</v>
      </c>
      <c r="AV138" s="73"/>
      <c r="AW138" s="73"/>
      <c r="AX138" s="73"/>
      <c r="AY138" s="73"/>
      <c r="AZ138" s="73"/>
      <c r="BA138" s="73"/>
      <c r="BB138" s="73"/>
      <c r="BC138" s="73"/>
      <c r="BH138" s="71">
        <v>46174</v>
      </c>
      <c r="BI138" s="71"/>
      <c r="BJ138" s="71"/>
      <c r="BK138" s="71"/>
      <c r="BL138" s="71"/>
      <c r="BM138" s="71"/>
      <c r="BN138" s="71"/>
      <c r="BO138" s="71"/>
      <c r="BP138" s="71"/>
    </row>
    <row r="139" spans="1:69">
      <c r="A139" s="1" t="s">
        <v>11</v>
      </c>
      <c r="B139" s="1" t="s">
        <v>0</v>
      </c>
      <c r="C139" s="1" t="s">
        <v>1</v>
      </c>
      <c r="D139" s="1" t="s">
        <v>2</v>
      </c>
      <c r="E139" s="1" t="s">
        <v>3</v>
      </c>
      <c r="F139" s="1" t="s">
        <v>4</v>
      </c>
      <c r="G139" s="1" t="s">
        <v>5</v>
      </c>
      <c r="H139" s="17" t="s">
        <v>21</v>
      </c>
      <c r="I139" s="2" t="s">
        <v>6</v>
      </c>
      <c r="J139" s="3" t="s">
        <v>7</v>
      </c>
      <c r="K139" s="4" t="s">
        <v>6</v>
      </c>
      <c r="M139" s="1" t="s">
        <v>0</v>
      </c>
      <c r="N139" s="1" t="s">
        <v>1</v>
      </c>
      <c r="O139" s="1" t="s">
        <v>2</v>
      </c>
      <c r="P139" s="1" t="s">
        <v>3</v>
      </c>
      <c r="Q139" s="1" t="s">
        <v>4</v>
      </c>
      <c r="R139" s="1" t="s">
        <v>5</v>
      </c>
      <c r="S139" s="17" t="s">
        <v>21</v>
      </c>
      <c r="T139" s="2" t="s">
        <v>6</v>
      </c>
      <c r="U139" s="3" t="s">
        <v>7</v>
      </c>
      <c r="V139" s="4" t="s">
        <v>6</v>
      </c>
      <c r="X139" s="1" t="s">
        <v>11</v>
      </c>
      <c r="Y139" s="1" t="s">
        <v>0</v>
      </c>
      <c r="Z139" s="1" t="s">
        <v>1</v>
      </c>
      <c r="AA139" s="1" t="s">
        <v>2</v>
      </c>
      <c r="AB139" s="1" t="s">
        <v>3</v>
      </c>
      <c r="AC139" s="1" t="s">
        <v>4</v>
      </c>
      <c r="AD139" s="1" t="s">
        <v>5</v>
      </c>
      <c r="AE139" s="17" t="s">
        <v>21</v>
      </c>
      <c r="AF139" s="2" t="s">
        <v>6</v>
      </c>
      <c r="AG139" s="3" t="s">
        <v>7</v>
      </c>
      <c r="AH139" s="4" t="s">
        <v>6</v>
      </c>
      <c r="AJ139" s="1" t="s">
        <v>0</v>
      </c>
      <c r="AK139" s="1" t="s">
        <v>1</v>
      </c>
      <c r="AL139" s="1" t="s">
        <v>2</v>
      </c>
      <c r="AM139" s="1" t="s">
        <v>3</v>
      </c>
      <c r="AN139" s="1" t="s">
        <v>4</v>
      </c>
      <c r="AO139" s="1" t="s">
        <v>5</v>
      </c>
      <c r="AP139" s="17" t="s">
        <v>21</v>
      </c>
      <c r="AQ139" s="2" t="s">
        <v>6</v>
      </c>
      <c r="AR139" s="3" t="s">
        <v>7</v>
      </c>
      <c r="AS139" s="4" t="s">
        <v>6</v>
      </c>
      <c r="AU139" s="1" t="s">
        <v>11</v>
      </c>
      <c r="AV139" s="1" t="s">
        <v>0</v>
      </c>
      <c r="AW139" s="1" t="s">
        <v>1</v>
      </c>
      <c r="AX139" s="1" t="s">
        <v>2</v>
      </c>
      <c r="AY139" s="1" t="s">
        <v>3</v>
      </c>
      <c r="AZ139" s="1" t="s">
        <v>4</v>
      </c>
      <c r="BA139" s="1" t="s">
        <v>5</v>
      </c>
      <c r="BB139" s="17" t="s">
        <v>21</v>
      </c>
      <c r="BC139" s="2" t="s">
        <v>6</v>
      </c>
      <c r="BD139" s="3" t="s">
        <v>7</v>
      </c>
      <c r="BE139" s="4" t="s">
        <v>6</v>
      </c>
      <c r="BG139" s="1" t="s">
        <v>11</v>
      </c>
      <c r="BH139" s="1" t="s">
        <v>0</v>
      </c>
      <c r="BI139" s="1" t="s">
        <v>1</v>
      </c>
      <c r="BJ139" s="1" t="s">
        <v>2</v>
      </c>
      <c r="BK139" s="1" t="s">
        <v>3</v>
      </c>
      <c r="BL139" s="1" t="s">
        <v>4</v>
      </c>
      <c r="BM139" s="1" t="s">
        <v>5</v>
      </c>
      <c r="BN139" s="17" t="s">
        <v>21</v>
      </c>
      <c r="BO139" s="2" t="s">
        <v>6</v>
      </c>
      <c r="BP139" s="3" t="s">
        <v>7</v>
      </c>
      <c r="BQ139" s="4" t="s">
        <v>6</v>
      </c>
    </row>
    <row r="140" spans="1:69" ht="15" customHeight="1">
      <c r="A140" s="72" t="s">
        <v>18</v>
      </c>
      <c r="B140" s="16">
        <v>46027</v>
      </c>
      <c r="C140" s="10">
        <v>39912</v>
      </c>
      <c r="D140" s="10">
        <v>40546</v>
      </c>
      <c r="E140" s="10">
        <f>Table26912142030405470829811261014182226[[#This Row],[KM Final]]-Table26912142030405470829811261014182226[[#This Row],[KM Inicial]]</f>
        <v>634</v>
      </c>
      <c r="F140" s="10">
        <v>207.03</v>
      </c>
      <c r="G140" s="11">
        <f>Table26912142030405470829811261014182226[[#This Row],[KM Rodado]]/Table26912142030405470829811261014182226[[#This Row],[Consumo Lt]]</f>
        <v>3.062358112350867</v>
      </c>
      <c r="H140" s="18">
        <v>12</v>
      </c>
      <c r="I140" s="12">
        <v>1117</v>
      </c>
      <c r="J140" t="s">
        <v>8</v>
      </c>
      <c r="K140" s="8">
        <v>504</v>
      </c>
      <c r="M140" s="16">
        <v>46054</v>
      </c>
      <c r="N140" s="10">
        <v>52428</v>
      </c>
      <c r="O140" s="10">
        <v>53501</v>
      </c>
      <c r="P140" s="10">
        <f>Table269121420304054708298112481216202428[[#This Row],[KM Final]]-Table269121420304054708298112481216202428[[#This Row],[KM Inicial]]</f>
        <v>1073</v>
      </c>
      <c r="Q140" s="10">
        <v>365</v>
      </c>
      <c r="R140" s="11">
        <f>Table269121420304054708298112481216202428[[#This Row],[KM Rodado]]/Table269121420304054708298112481216202428[[#This Row],[Consumo Lt]]</f>
        <v>2.9397260273972603</v>
      </c>
      <c r="S140" s="18"/>
      <c r="T140" s="12">
        <v>2048.25</v>
      </c>
      <c r="U140" t="s">
        <v>8</v>
      </c>
      <c r="V140" s="8">
        <v>504</v>
      </c>
      <c r="X140" s="72" t="s">
        <v>18</v>
      </c>
      <c r="Y140" s="16">
        <v>46082</v>
      </c>
      <c r="Z140" s="10">
        <v>66496</v>
      </c>
      <c r="AA140" s="10">
        <v>67642</v>
      </c>
      <c r="AB140" s="10">
        <f>Table2691214203040547082981126101418222655[[#This Row],[KM Final]]-Table2691214203040547082981126101418222655[[#This Row],[KM Inicial]]</f>
        <v>1146</v>
      </c>
      <c r="AC140" s="10">
        <v>410</v>
      </c>
      <c r="AD140" s="11">
        <f>Table2691214203040547082981126101418222655[[#This Row],[KM Rodado]]/Table2691214203040547082981126101418222655[[#This Row],[Consumo Lt]]</f>
        <v>2.795121951219512</v>
      </c>
      <c r="AE140" s="18"/>
      <c r="AF140" s="12">
        <v>2320.6</v>
      </c>
      <c r="AG140" t="s">
        <v>8</v>
      </c>
      <c r="AH140" s="8">
        <v>504</v>
      </c>
      <c r="AJ140" s="16">
        <v>46113</v>
      </c>
      <c r="AK140" s="10">
        <v>83373</v>
      </c>
      <c r="AL140" s="10">
        <v>84234</v>
      </c>
      <c r="AM140" s="10">
        <f>Table2691214203040547082981124812162024284678[[#This Row],[KM Final]]-Table2691214203040547082981124812162024284678[[#This Row],[KM Inicial]]</f>
        <v>861</v>
      </c>
      <c r="AN140" s="10">
        <v>150</v>
      </c>
      <c r="AO140" s="11">
        <f>Table2691214203040547082981124812162024284678[[#This Row],[KM Rodado]]/Table2691214203040547082981124812162024284678[[#This Row],[Consumo Lt]]</f>
        <v>5.74</v>
      </c>
      <c r="AP140" s="18"/>
      <c r="AQ140" s="12">
        <v>1083</v>
      </c>
      <c r="AR140" t="s">
        <v>8</v>
      </c>
      <c r="AS140" s="8">
        <v>504</v>
      </c>
      <c r="AU140" s="74" t="s">
        <v>18</v>
      </c>
      <c r="AV140" s="16">
        <v>46143</v>
      </c>
      <c r="AW140" s="10">
        <v>94804</v>
      </c>
      <c r="AX140" s="10">
        <v>95670</v>
      </c>
      <c r="AY140" s="10">
        <f>Table2691214203040547082981124812162024284678142[[#This Row],[KM Final]]-Table2691214203040547082981124812162024284678142[[#This Row],[KM Inicial]]</f>
        <v>866</v>
      </c>
      <c r="AZ140" s="10">
        <v>377</v>
      </c>
      <c r="BA140" s="11">
        <f>Table2691214203040547082981124812162024284678142[[#This Row],[KM Rodado]]/Table2691214203040547082981124812162024284678142[[#This Row],[Consumo Lt]]</f>
        <v>2.2970822281167109</v>
      </c>
      <c r="BB140" s="18">
        <v>20</v>
      </c>
      <c r="BC140" s="12">
        <v>2521.87</v>
      </c>
      <c r="BD140" t="s">
        <v>8</v>
      </c>
      <c r="BE140" s="8">
        <v>504</v>
      </c>
      <c r="BG140" s="72" t="s">
        <v>18</v>
      </c>
      <c r="BH140" s="16">
        <v>46174</v>
      </c>
      <c r="BI140" s="10">
        <v>109542</v>
      </c>
      <c r="BJ140" s="10">
        <v>110465</v>
      </c>
      <c r="BK140" s="10">
        <f>Table2691214203040547082981126101418222682[[#This Row],[KM Final]]-Table2691214203040547082981126101418222682[[#This Row],[KM Inicial]]</f>
        <v>923</v>
      </c>
      <c r="BL140" s="10">
        <v>292</v>
      </c>
      <c r="BM140" s="11">
        <f>Table2691214203040547082981126101418222682[[#This Row],[KM Rodado]]/Table2691214203040547082981126101418222682[[#This Row],[Consumo Lt]]</f>
        <v>3.1609589041095889</v>
      </c>
      <c r="BN140" s="18">
        <v>18</v>
      </c>
      <c r="BO140" s="12">
        <v>1920.63</v>
      </c>
      <c r="BP140" t="s">
        <v>8</v>
      </c>
      <c r="BQ140" s="8">
        <v>504</v>
      </c>
    </row>
    <row r="141" spans="1:69">
      <c r="A141" s="72"/>
      <c r="B141" s="16">
        <v>46028</v>
      </c>
      <c r="C141" s="10">
        <f t="shared" ref="C141:C156" si="32">D140</f>
        <v>40546</v>
      </c>
      <c r="D141" s="10">
        <v>41146</v>
      </c>
      <c r="E141" s="10">
        <f>Table26912142030405470829811261014182226[[#This Row],[KM Final]]-Table26912142030405470829811261014182226[[#This Row],[KM Inicial]]</f>
        <v>600</v>
      </c>
      <c r="F141" s="10">
        <v>220.32</v>
      </c>
      <c r="G141" s="11">
        <f>Table26912142030405470829811261014182226[[#This Row],[KM Rodado]]/Table26912142030405470829811261014182226[[#This Row],[Consumo Lt]]</f>
        <v>2.7233115468409586</v>
      </c>
      <c r="H141" s="18">
        <v>18.87</v>
      </c>
      <c r="I141" s="12">
        <v>1292.0899999999999</v>
      </c>
      <c r="J141" t="s">
        <v>20</v>
      </c>
      <c r="K141" s="8">
        <v>300</v>
      </c>
      <c r="M141" s="16">
        <v>46056</v>
      </c>
      <c r="N141" s="10">
        <f t="shared" ref="N141:N158" si="33">O140</f>
        <v>53501</v>
      </c>
      <c r="O141" s="10">
        <v>53840</v>
      </c>
      <c r="P141" s="10">
        <f>Table269121420304054708298112481216202428[[#This Row],[KM Final]]-Table269121420304054708298112481216202428[[#This Row],[KM Inicial]]</f>
        <v>339</v>
      </c>
      <c r="Q141" s="10">
        <v>140</v>
      </c>
      <c r="R141" s="11">
        <f>Table269121420304054708298112481216202428[[#This Row],[KM Rodado]]/Table269121420304054708298112481216202428[[#This Row],[Consumo Lt]]</f>
        <v>2.4214285714285713</v>
      </c>
      <c r="S141" s="18">
        <v>42</v>
      </c>
      <c r="T141" s="12">
        <v>892.72</v>
      </c>
      <c r="U141" t="s">
        <v>20</v>
      </c>
      <c r="V141" s="8">
        <v>300</v>
      </c>
      <c r="X141" s="72"/>
      <c r="Y141" s="16">
        <v>46085</v>
      </c>
      <c r="Z141" s="10">
        <f t="shared" ref="Z141:Z161" si="34">AA140</f>
        <v>67642</v>
      </c>
      <c r="AA141" s="10">
        <v>68428</v>
      </c>
      <c r="AB141" s="10">
        <f>Table2691214203040547082981126101418222655[[#This Row],[KM Final]]-Table2691214203040547082981126101418222655[[#This Row],[KM Inicial]]</f>
        <v>786</v>
      </c>
      <c r="AC141" s="10">
        <v>311</v>
      </c>
      <c r="AD141" s="11">
        <f>Table2691214203040547082981126101418222655[[#This Row],[KM Rodado]]/Table2691214203040547082981126101418222655[[#This Row],[Consumo Lt]]</f>
        <v>2.527331189710611</v>
      </c>
      <c r="AE141" s="18">
        <v>50</v>
      </c>
      <c r="AF141" s="12">
        <v>1858.66</v>
      </c>
      <c r="AG141" t="s">
        <v>20</v>
      </c>
      <c r="AH141" s="8">
        <v>300</v>
      </c>
      <c r="AJ141" s="16">
        <v>46113</v>
      </c>
      <c r="AK141" s="10">
        <f t="shared" ref="AK141:AK154" si="35">AL140</f>
        <v>84234</v>
      </c>
      <c r="AL141" s="10">
        <v>84487</v>
      </c>
      <c r="AM141" s="10">
        <f>Table2691214203040547082981124812162024284678[[#This Row],[KM Final]]-Table2691214203040547082981124812162024284678[[#This Row],[KM Inicial]]</f>
        <v>253</v>
      </c>
      <c r="AN141" s="10">
        <v>396</v>
      </c>
      <c r="AO141" s="11">
        <f>Table2691214203040547082981124812162024284678[[#This Row],[KM Rodado]]/Table2691214203040547082981124812162024284678[[#This Row],[Consumo Lt]]</f>
        <v>0.63888888888888884</v>
      </c>
      <c r="AP141" s="18"/>
      <c r="AQ141" s="12">
        <v>2562.9499999999998</v>
      </c>
      <c r="AR141" t="s">
        <v>20</v>
      </c>
      <c r="AS141" s="8">
        <v>300</v>
      </c>
      <c r="AU141" s="75"/>
      <c r="AV141" s="16">
        <v>46145</v>
      </c>
      <c r="AW141" s="10">
        <f t="shared" ref="AW141:AW157" si="36">AX140</f>
        <v>95670</v>
      </c>
      <c r="AX141" s="10">
        <v>96017</v>
      </c>
      <c r="AY141" s="10">
        <f>Table2691214203040547082981124812162024284678142[[#This Row],[KM Final]]-Table2691214203040547082981124812162024284678142[[#This Row],[KM Inicial]]</f>
        <v>347</v>
      </c>
      <c r="AZ141" s="10">
        <v>169</v>
      </c>
      <c r="BA141" s="11">
        <f>Table2691214203040547082981124812162024284678142[[#This Row],[KM Rodado]]/Table2691214203040547082981124812162024284678142[[#This Row],[Consumo Lt]]</f>
        <v>2.0532544378698225</v>
      </c>
      <c r="BB141" s="18">
        <v>30</v>
      </c>
      <c r="BC141" s="12">
        <v>1191.04</v>
      </c>
      <c r="BD141" t="s">
        <v>20</v>
      </c>
      <c r="BE141" s="8">
        <v>300</v>
      </c>
      <c r="BG141" s="72"/>
      <c r="BH141" s="16">
        <v>46175</v>
      </c>
      <c r="BI141" s="10">
        <f t="shared" ref="BI141:BI160" si="37">BJ140</f>
        <v>110465</v>
      </c>
      <c r="BJ141" s="10">
        <v>110948</v>
      </c>
      <c r="BK141" s="10">
        <f>Table2691214203040547082981126101418222682[[#This Row],[KM Final]]-Table2691214203040547082981126101418222682[[#This Row],[KM Inicial]]</f>
        <v>483</v>
      </c>
      <c r="BL141" s="10">
        <v>174</v>
      </c>
      <c r="BM141" s="11">
        <f>Table2691214203040547082981126101418222682[[#This Row],[KM Rodado]]/Table2691214203040547082981126101418222682[[#This Row],[Consumo Lt]]</f>
        <v>2.7758620689655173</v>
      </c>
      <c r="BN141" s="18">
        <v>31</v>
      </c>
      <c r="BO141" s="12">
        <v>1260.92</v>
      </c>
      <c r="BP141" t="s">
        <v>20</v>
      </c>
      <c r="BQ141" s="8">
        <v>300</v>
      </c>
    </row>
    <row r="142" spans="1:69">
      <c r="A142" s="72"/>
      <c r="B142" s="16">
        <v>46030</v>
      </c>
      <c r="C142" s="10">
        <f t="shared" si="32"/>
        <v>41146</v>
      </c>
      <c r="D142" s="10">
        <v>42216</v>
      </c>
      <c r="E142" s="10">
        <f>Table26912142030405470829811261014182226[[#This Row],[KM Final]]-Table26912142030405470829811261014182226[[#This Row],[KM Inicial]]</f>
        <v>1070</v>
      </c>
      <c r="F142" s="10">
        <v>394.23</v>
      </c>
      <c r="G142" s="11">
        <f>Table26912142030405470829811261014182226[[#This Row],[KM Rodado]]/Table26912142030405470829811261014182226[[#This Row],[Consumo Lt]]</f>
        <v>2.7141516373690484</v>
      </c>
      <c r="H142" s="18">
        <v>33.39</v>
      </c>
      <c r="I142" s="12">
        <v>2310.85</v>
      </c>
      <c r="J142" t="s">
        <v>33</v>
      </c>
      <c r="K142" s="8">
        <v>70</v>
      </c>
      <c r="M142" s="16">
        <v>46057</v>
      </c>
      <c r="N142" s="10">
        <f t="shared" si="33"/>
        <v>53840</v>
      </c>
      <c r="O142" s="10">
        <v>54744</v>
      </c>
      <c r="P142" s="10">
        <f>Table269121420304054708298112481216202428[[#This Row],[KM Final]]-Table269121420304054708298112481216202428[[#This Row],[KM Inicial]]</f>
        <v>904</v>
      </c>
      <c r="Q142" s="10">
        <v>290</v>
      </c>
      <c r="R142" s="11">
        <f>Table269121420304054708298112481216202428[[#This Row],[KM Rodado]]/Table269121420304054708298112481216202428[[#This Row],[Consumo Lt]]</f>
        <v>3.1172413793103448</v>
      </c>
      <c r="S142" s="18">
        <v>14</v>
      </c>
      <c r="T142" s="12">
        <v>1630.15</v>
      </c>
      <c r="U142" t="s">
        <v>25</v>
      </c>
      <c r="V142" s="8">
        <v>400</v>
      </c>
      <c r="X142" s="72"/>
      <c r="Y142" s="16">
        <v>46085</v>
      </c>
      <c r="Z142" s="10">
        <f t="shared" si="34"/>
        <v>68428</v>
      </c>
      <c r="AA142" s="10">
        <v>68897</v>
      </c>
      <c r="AB142" s="10">
        <f>Table2691214203040547082981126101418222655[[#This Row],[KM Final]]-Table2691214203040547082981126101418222655[[#This Row],[KM Inicial]]</f>
        <v>469</v>
      </c>
      <c r="AC142" s="10">
        <v>137</v>
      </c>
      <c r="AD142" s="11">
        <f>Table2691214203040547082981126101418222655[[#This Row],[KM Rodado]]/Table2691214203040547082981126101418222655[[#This Row],[Consumo Lt]]</f>
        <v>3.4233576642335768</v>
      </c>
      <c r="AE142" s="18"/>
      <c r="AF142" s="12">
        <v>779.53</v>
      </c>
      <c r="AH142" s="8"/>
      <c r="AJ142" s="16">
        <v>46115</v>
      </c>
      <c r="AK142" s="10">
        <f t="shared" si="35"/>
        <v>84487</v>
      </c>
      <c r="AL142" s="10">
        <v>85401</v>
      </c>
      <c r="AM142" s="10">
        <f>Table2691214203040547082981124812162024284678[[#This Row],[KM Final]]-Table2691214203040547082981124812162024284678[[#This Row],[KM Inicial]]</f>
        <v>914</v>
      </c>
      <c r="AN142" s="10">
        <v>322</v>
      </c>
      <c r="AO142" s="11">
        <f>Table2691214203040547082981124812162024284678[[#This Row],[KM Rodado]]/Table2691214203040547082981124812162024284678[[#This Row],[Consumo Lt]]</f>
        <v>2.8385093167701863</v>
      </c>
      <c r="AP142" s="11">
        <v>57</v>
      </c>
      <c r="AQ142" s="12">
        <v>2486.6</v>
      </c>
      <c r="AS142" s="8"/>
      <c r="AU142" s="75"/>
      <c r="AV142" s="16">
        <v>46147</v>
      </c>
      <c r="AW142" s="10">
        <f t="shared" si="36"/>
        <v>96017</v>
      </c>
      <c r="AX142" s="10">
        <v>97077</v>
      </c>
      <c r="AY142" s="10">
        <f>Table2691214203040547082981124812162024284678142[[#This Row],[KM Final]]-Table2691214203040547082981124812162024284678142[[#This Row],[KM Inicial]]</f>
        <v>1060</v>
      </c>
      <c r="AZ142" s="10">
        <v>100</v>
      </c>
      <c r="BA142" s="11">
        <f>Table2691214203040547082981124812162024284678142[[#This Row],[KM Rodado]]/Table2691214203040547082981124812162024284678142[[#This Row],[Consumo Lt]]</f>
        <v>10.6</v>
      </c>
      <c r="BB142" s="18"/>
      <c r="BC142" s="12">
        <v>679</v>
      </c>
      <c r="BD142" t="s">
        <v>98</v>
      </c>
      <c r="BE142" s="37">
        <v>39</v>
      </c>
      <c r="BG142" s="72"/>
      <c r="BH142" s="16">
        <v>46179</v>
      </c>
      <c r="BI142" s="10">
        <f t="shared" si="37"/>
        <v>110948</v>
      </c>
      <c r="BJ142" s="10">
        <v>111646</v>
      </c>
      <c r="BK142" s="10"/>
      <c r="BL142" s="10"/>
      <c r="BM142" s="11"/>
      <c r="BN142" s="18"/>
      <c r="BO142" s="12">
        <v>1000</v>
      </c>
      <c r="BQ142" s="8"/>
    </row>
    <row r="143" spans="1:69">
      <c r="A143" s="72"/>
      <c r="B143" s="16">
        <v>46033</v>
      </c>
      <c r="C143" s="10">
        <f t="shared" si="32"/>
        <v>42216</v>
      </c>
      <c r="D143" s="10">
        <v>43170</v>
      </c>
      <c r="E143" s="10">
        <f>Table26912142030405470829811261014182226[[#This Row],[KM Final]]-Table26912142030405470829811261014182226[[#This Row],[KM Inicial]]</f>
        <v>954</v>
      </c>
      <c r="F143" s="10">
        <v>382</v>
      </c>
      <c r="G143" s="11">
        <f>Table26912142030405470829811261014182226[[#This Row],[KM Rodado]]/Table26912142030405470829811261014182226[[#This Row],[Consumo Lt]]</f>
        <v>2.4973821989528795</v>
      </c>
      <c r="H143" s="18">
        <v>27.01</v>
      </c>
      <c r="I143" s="12">
        <v>2222.66</v>
      </c>
      <c r="J143" t="s">
        <v>34</v>
      </c>
      <c r="K143" s="14">
        <v>360</v>
      </c>
      <c r="M143" s="16">
        <v>46058</v>
      </c>
      <c r="N143" s="10">
        <f t="shared" si="33"/>
        <v>54744</v>
      </c>
      <c r="O143" s="10">
        <v>55791</v>
      </c>
      <c r="P143" s="10">
        <f>Table269121420304054708298112481216202428[[#This Row],[KM Final]]-Table269121420304054708298112481216202428[[#This Row],[KM Inicial]]</f>
        <v>1047</v>
      </c>
      <c r="Q143" s="10">
        <v>245</v>
      </c>
      <c r="R143" s="11">
        <f>Table269121420304054708298112481216202428[[#This Row],[KM Rodado]]/Table269121420304054708298112481216202428[[#This Row],[Consumo Lt]]</f>
        <v>4.2734693877551022</v>
      </c>
      <c r="S143" s="18"/>
      <c r="T143" s="12">
        <v>1372.11</v>
      </c>
      <c r="V143" s="14"/>
      <c r="X143" s="72"/>
      <c r="Y143" s="16">
        <v>46086</v>
      </c>
      <c r="Z143" s="10">
        <f t="shared" si="34"/>
        <v>68897</v>
      </c>
      <c r="AA143" s="10">
        <v>70071</v>
      </c>
      <c r="AB143" s="10">
        <f>Table2691214203040547082981126101418222655[[#This Row],[KM Final]]-Table2691214203040547082981126101418222655[[#This Row],[KM Inicial]]</f>
        <v>1174</v>
      </c>
      <c r="AC143" s="10">
        <v>300</v>
      </c>
      <c r="AD143" s="11">
        <f>Table2691214203040547082981126101418222655[[#This Row],[KM Rodado]]/Table2691214203040547082981126101418222655[[#This Row],[Consumo Lt]]</f>
        <v>3.9133333333333336</v>
      </c>
      <c r="AE143" s="18"/>
      <c r="AF143" s="12">
        <v>1800</v>
      </c>
      <c r="AH143" s="14"/>
      <c r="AJ143" s="16">
        <v>46116</v>
      </c>
      <c r="AK143" s="10">
        <f t="shared" si="35"/>
        <v>85401</v>
      </c>
      <c r="AL143" s="10">
        <v>86236</v>
      </c>
      <c r="AM143" s="10">
        <f>Table2691214203040547082981124812162024284678[[#This Row],[KM Final]]-Table2691214203040547082981124812162024284678[[#This Row],[KM Inicial]]</f>
        <v>835</v>
      </c>
      <c r="AN143" s="10">
        <v>310</v>
      </c>
      <c r="AO143" s="11">
        <f>Table2691214203040547082981124812162024284678[[#This Row],[KM Rodado]]/Table2691214203040547082981124812162024284678[[#This Row],[Consumo Lt]]</f>
        <v>2.693548387096774</v>
      </c>
      <c r="AP143" s="11"/>
      <c r="AQ143" s="12">
        <v>2168.6</v>
      </c>
      <c r="AS143" s="14"/>
      <c r="AU143" s="75"/>
      <c r="AV143" s="16">
        <v>46148</v>
      </c>
      <c r="AW143" s="10">
        <f t="shared" si="36"/>
        <v>97077</v>
      </c>
      <c r="AX143" s="10">
        <v>97247</v>
      </c>
      <c r="AY143" s="10">
        <f>Table2691214203040547082981124812162024284678142[[#This Row],[KM Final]]-Table2691214203040547082981124812162024284678142[[#This Row],[KM Inicial]]</f>
        <v>170</v>
      </c>
      <c r="AZ143" s="10">
        <v>375</v>
      </c>
      <c r="BA143" s="11">
        <f>Table2691214203040547082981124812162024284678142[[#This Row],[KM Rodado]]/Table2691214203040547082981124812162024284678142[[#This Row],[Consumo Lt]]</f>
        <v>0.45333333333333331</v>
      </c>
      <c r="BB143" s="18">
        <v>25</v>
      </c>
      <c r="BC143" s="12">
        <v>2512.25</v>
      </c>
      <c r="BD143" t="s">
        <v>108</v>
      </c>
      <c r="BE143" s="37">
        <v>60</v>
      </c>
      <c r="BG143" s="72"/>
      <c r="BH143" s="16">
        <v>46181</v>
      </c>
      <c r="BI143" s="10">
        <f t="shared" si="37"/>
        <v>111646</v>
      </c>
      <c r="BJ143" s="10">
        <v>112191</v>
      </c>
      <c r="BK143" s="10">
        <v>1243</v>
      </c>
      <c r="BL143" s="10">
        <v>519</v>
      </c>
      <c r="BM143" s="11">
        <f>Table2691214203040547082981126101418222682[[#This Row],[KM Rodado]]/Table2691214203040547082981126101418222682[[#This Row],[Consumo Lt]]</f>
        <v>2.3949903660886318</v>
      </c>
      <c r="BN143" s="18"/>
      <c r="BO143" s="12">
        <v>2336.65</v>
      </c>
      <c r="BQ143" s="14"/>
    </row>
    <row r="144" spans="1:69">
      <c r="A144" s="72"/>
      <c r="B144" s="16">
        <v>46035</v>
      </c>
      <c r="C144" s="10">
        <f t="shared" si="32"/>
        <v>43170</v>
      </c>
      <c r="D144" s="10">
        <v>44131</v>
      </c>
      <c r="E144" s="10">
        <f>Table26912142030405470829811261014182226[[#This Row],[KM Final]]-Table26912142030405470829811261014182226[[#This Row],[KM Inicial]]</f>
        <v>961</v>
      </c>
      <c r="F144" s="10">
        <v>395.05</v>
      </c>
      <c r="G144" s="11">
        <f>Table26912142030405470829811261014182226[[#This Row],[KM Rodado]]/Table26912142030405470829811261014182226[[#This Row],[Consumo Lt]]</f>
        <v>2.4326034679154538</v>
      </c>
      <c r="H144" s="18"/>
      <c r="I144" s="12">
        <v>2212.2800000000002</v>
      </c>
      <c r="K144" s="8"/>
      <c r="M144" s="16">
        <v>46059</v>
      </c>
      <c r="N144" s="10">
        <f t="shared" si="33"/>
        <v>55791</v>
      </c>
      <c r="O144" s="10">
        <v>56401</v>
      </c>
      <c r="P144" s="10">
        <f>Table269121420304054708298112481216202428[[#This Row],[KM Final]]-Table269121420304054708298112481216202428[[#This Row],[KM Inicial]]</f>
        <v>610</v>
      </c>
      <c r="Q144" s="10">
        <v>200</v>
      </c>
      <c r="R144" s="11">
        <f>Table269121420304054708298112481216202428[[#This Row],[KM Rodado]]/Table269121420304054708298112481216202428[[#This Row],[Consumo Lt]]</f>
        <v>3.05</v>
      </c>
      <c r="S144" s="18"/>
      <c r="T144" s="12">
        <v>1120</v>
      </c>
      <c r="V144" s="8"/>
      <c r="X144" s="72"/>
      <c r="Y144" s="16">
        <v>46088</v>
      </c>
      <c r="Z144" s="10">
        <f t="shared" si="34"/>
        <v>70071</v>
      </c>
      <c r="AA144" s="10">
        <v>70742</v>
      </c>
      <c r="AB144" s="10">
        <f>Table2691214203040547082981126101418222655[[#This Row],[KM Final]]-Table2691214203040547082981126101418222655[[#This Row],[KM Inicial]]</f>
        <v>671</v>
      </c>
      <c r="AC144" s="10">
        <v>363</v>
      </c>
      <c r="AD144" s="11">
        <f>Table2691214203040547082981126101418222655[[#This Row],[KM Rodado]]/Table2691214203040547082981126101418222655[[#This Row],[Consumo Lt]]</f>
        <v>1.8484848484848484</v>
      </c>
      <c r="AE144" s="18">
        <v>15</v>
      </c>
      <c r="AF144" s="12">
        <v>2434.59</v>
      </c>
      <c r="AH144" s="8"/>
      <c r="AJ144" s="16">
        <v>46119</v>
      </c>
      <c r="AK144" s="10">
        <f t="shared" si="35"/>
        <v>86236</v>
      </c>
      <c r="AL144" s="10">
        <v>87243</v>
      </c>
      <c r="AM144" s="10">
        <f>Table2691214203040547082981124812162024284678[[#This Row],[KM Final]]-Table2691214203040547082981124812162024284678[[#This Row],[KM Inicial]]</f>
        <v>1007</v>
      </c>
      <c r="AN144" s="10">
        <v>334</v>
      </c>
      <c r="AO144" s="11">
        <f>Table2691214203040547082981124812162024284678[[#This Row],[KM Rodado]]/Table2691214203040547082981124812162024284678[[#This Row],[Consumo Lt]]</f>
        <v>3.0149700598802394</v>
      </c>
      <c r="AP144" s="11">
        <v>40</v>
      </c>
      <c r="AQ144" s="12">
        <v>2499.6999999999998</v>
      </c>
      <c r="AS144" s="8"/>
      <c r="AU144" s="75"/>
      <c r="AV144" s="16">
        <v>46148</v>
      </c>
      <c r="AW144" s="10">
        <f t="shared" si="36"/>
        <v>97247</v>
      </c>
      <c r="AX144" s="10">
        <v>97893</v>
      </c>
      <c r="AY144" s="10">
        <f>Table2691214203040547082981124812162024284678142[[#This Row],[KM Final]]-Table2691214203040547082981124812162024284678142[[#This Row],[KM Inicial]]</f>
        <v>646</v>
      </c>
      <c r="AZ144" s="10">
        <v>220</v>
      </c>
      <c r="BA144" s="11">
        <f>Table2691214203040547082981124812162024284678142[[#This Row],[KM Rodado]]/Table2691214203040547082981124812162024284678142[[#This Row],[Consumo Lt]]</f>
        <v>2.9363636363636365</v>
      </c>
      <c r="BB144" s="18"/>
      <c r="BC144" s="12">
        <v>1455.24</v>
      </c>
      <c r="BD144" t="s">
        <v>109</v>
      </c>
      <c r="BE144" s="37">
        <v>1450</v>
      </c>
      <c r="BG144" s="72"/>
      <c r="BH144" s="16">
        <v>46183</v>
      </c>
      <c r="BI144" s="10">
        <f t="shared" si="37"/>
        <v>112191</v>
      </c>
      <c r="BJ144" s="10">
        <v>113216</v>
      </c>
      <c r="BK144" s="10">
        <f>Table2691214203040547082981126101418222682[[#This Row],[KM Final]]-Table2691214203040547082981126101418222682[[#This Row],[KM Inicial]]</f>
        <v>1025</v>
      </c>
      <c r="BL144" s="10">
        <v>369</v>
      </c>
      <c r="BM144" s="11">
        <f>Table2691214203040547082981126101418222682[[#This Row],[KM Rodado]]/Table2691214203040547082981126101418222682[[#This Row],[Consumo Lt]]</f>
        <v>2.7777777777777777</v>
      </c>
      <c r="BN144" s="18">
        <v>53</v>
      </c>
      <c r="BO144" s="12">
        <v>2311.61</v>
      </c>
      <c r="BQ144" s="8"/>
    </row>
    <row r="145" spans="1:69">
      <c r="A145" s="72"/>
      <c r="B145" s="16">
        <v>46037</v>
      </c>
      <c r="C145" s="10">
        <f t="shared" si="32"/>
        <v>44131</v>
      </c>
      <c r="D145" s="10">
        <v>44689</v>
      </c>
      <c r="E145" s="10">
        <f>Table26912142030405470829811261014182226[[#This Row],[KM Final]]-Table26912142030405470829811261014182226[[#This Row],[KM Inicial]]</f>
        <v>558</v>
      </c>
      <c r="F145" s="10">
        <v>220</v>
      </c>
      <c r="G145" s="11">
        <f>Table26912142030405470829811261014182226[[#This Row],[KM Rodado]]/Table26912142030405470829811261014182226[[#This Row],[Consumo Lt]]</f>
        <v>2.5363636363636362</v>
      </c>
      <c r="H145" s="18">
        <v>28.55</v>
      </c>
      <c r="I145" s="12">
        <v>1336.1</v>
      </c>
      <c r="K145" s="8"/>
      <c r="M145" s="16">
        <v>46060</v>
      </c>
      <c r="N145" s="10">
        <f t="shared" si="33"/>
        <v>56401</v>
      </c>
      <c r="O145" s="10">
        <v>56731</v>
      </c>
      <c r="P145" s="10">
        <f>Table269121420304054708298112481216202428[[#This Row],[KM Final]]-Table269121420304054708298112481216202428[[#This Row],[KM Inicial]]</f>
        <v>330</v>
      </c>
      <c r="Q145" s="10">
        <v>340</v>
      </c>
      <c r="R145" s="11">
        <f>Table269121420304054708298112481216202428[[#This Row],[KM Rodado]]/Table269121420304054708298112481216202428[[#This Row],[Consumo Lt]]</f>
        <v>0.97058823529411764</v>
      </c>
      <c r="S145" s="18">
        <v>47</v>
      </c>
      <c r="T145" s="12">
        <v>2009.46</v>
      </c>
      <c r="V145" s="8"/>
      <c r="X145" s="72"/>
      <c r="Y145" s="16">
        <v>46090</v>
      </c>
      <c r="Z145" s="10">
        <f t="shared" si="34"/>
        <v>70742</v>
      </c>
      <c r="AA145" s="10">
        <v>71821</v>
      </c>
      <c r="AB145" s="10">
        <f>Table2691214203040547082981126101418222655[[#This Row],[KM Final]]-Table2691214203040547082981126101418222655[[#This Row],[KM Inicial]]</f>
        <v>1079</v>
      </c>
      <c r="AC145" s="10">
        <v>200</v>
      </c>
      <c r="AD145" s="11">
        <f>Table2691214203040547082981126101418222655[[#This Row],[KM Rodado]]/Table2691214203040547082981126101418222655[[#This Row],[Consumo Lt]]</f>
        <v>5.3949999999999996</v>
      </c>
      <c r="AE145" s="18">
        <v>50</v>
      </c>
      <c r="AF145" s="12">
        <v>1411</v>
      </c>
      <c r="AH145" s="8"/>
      <c r="AJ145" s="16">
        <v>46121</v>
      </c>
      <c r="AK145" s="10">
        <f t="shared" si="35"/>
        <v>87243</v>
      </c>
      <c r="AL145" s="10">
        <v>87683</v>
      </c>
      <c r="AM145" s="10">
        <f>Table2691214203040547082981124812162024284678[[#This Row],[KM Final]]-Table2691214203040547082981124812162024284678[[#This Row],[KM Inicial]]</f>
        <v>440</v>
      </c>
      <c r="AN145" s="10">
        <v>161</v>
      </c>
      <c r="AO145" s="11">
        <f>Table2691214203040547082981124812162024284678[[#This Row],[KM Rodado]]/Table2691214203040547082981124812162024284678[[#This Row],[Consumo Lt]]</f>
        <v>2.7329192546583849</v>
      </c>
      <c r="AP145" s="11"/>
      <c r="AQ145" s="12">
        <v>1152.8</v>
      </c>
      <c r="AS145" s="8"/>
      <c r="AU145" s="75"/>
      <c r="AV145" s="16">
        <v>46151</v>
      </c>
      <c r="AW145" s="10">
        <f t="shared" si="36"/>
        <v>97893</v>
      </c>
      <c r="AX145" s="10">
        <v>99045</v>
      </c>
      <c r="AY145" s="10">
        <f>Table2691214203040547082981124812162024284678142[[#This Row],[KM Final]]-Table2691214203040547082981124812162024284678142[[#This Row],[KM Inicial]]</f>
        <v>1152</v>
      </c>
      <c r="AZ145" s="10">
        <v>150</v>
      </c>
      <c r="BA145" s="11">
        <f>Table2691214203040547082981124812162024284678142[[#This Row],[KM Rodado]]/Table2691214203040547082981124812162024284678142[[#This Row],[Consumo Lt]]</f>
        <v>7.68</v>
      </c>
      <c r="BB145" s="18"/>
      <c r="BC145" s="12">
        <v>978</v>
      </c>
      <c r="BE145" s="8"/>
      <c r="BG145" s="72"/>
      <c r="BH145" s="16">
        <v>46185</v>
      </c>
      <c r="BI145" s="10">
        <f t="shared" si="37"/>
        <v>113216</v>
      </c>
      <c r="BJ145" s="10">
        <v>114040</v>
      </c>
      <c r="BK145" s="10">
        <f>Table2691214203040547082981126101418222682[[#This Row],[KM Final]]-Table2691214203040547082981126101418222682[[#This Row],[KM Inicial]]</f>
        <v>824</v>
      </c>
      <c r="BL145" s="10">
        <v>317</v>
      </c>
      <c r="BM145" s="11">
        <f>Table2691214203040547082981126101418222682[[#This Row],[KM Rodado]]/Table2691214203040547082981126101418222682[[#This Row],[Consumo Lt]]</f>
        <v>2.5993690851735014</v>
      </c>
      <c r="BN145" s="18"/>
      <c r="BO145" s="12">
        <v>2029.63</v>
      </c>
      <c r="BQ145" s="8"/>
    </row>
    <row r="146" spans="1:69">
      <c r="A146" s="72"/>
      <c r="B146" s="16">
        <v>46039</v>
      </c>
      <c r="C146" s="10">
        <f t="shared" si="32"/>
        <v>44689</v>
      </c>
      <c r="D146" s="10">
        <v>45284</v>
      </c>
      <c r="E146" s="10">
        <f>Table26912142030405470829811261014182226[[#This Row],[KM Final]]-Table26912142030405470829811261014182226[[#This Row],[KM Inicial]]</f>
        <v>595</v>
      </c>
      <c r="F146" s="10">
        <v>243.01</v>
      </c>
      <c r="G146" s="11">
        <f>Table26912142030405470829811261014182226[[#This Row],[KM Rodado]]/Table26912142030405470829811261014182226[[#This Row],[Consumo Lt]]</f>
        <v>2.4484589111559196</v>
      </c>
      <c r="H146" s="18">
        <v>21.34</v>
      </c>
      <c r="I146" s="12">
        <v>1432.28</v>
      </c>
      <c r="K146" s="8"/>
      <c r="M146" s="16">
        <v>46060</v>
      </c>
      <c r="N146" s="10">
        <f t="shared" si="33"/>
        <v>56731</v>
      </c>
      <c r="O146" s="10">
        <v>57457</v>
      </c>
      <c r="P146" s="10">
        <f>Table269121420304054708298112481216202428[[#This Row],[KM Final]]-Table269121420304054708298112481216202428[[#This Row],[KM Inicial]]</f>
        <v>726</v>
      </c>
      <c r="Q146" s="10">
        <v>259</v>
      </c>
      <c r="R146" s="11">
        <f>Table269121420304054708298112481216202428[[#This Row],[KM Rodado]]/Table269121420304054708298112481216202428[[#This Row],[Consumo Lt]]</f>
        <v>2.8030888030888033</v>
      </c>
      <c r="S146" s="18"/>
      <c r="T146" s="12">
        <v>1450.62</v>
      </c>
      <c r="V146" s="8"/>
      <c r="X146" s="72"/>
      <c r="Y146" s="16">
        <v>46090</v>
      </c>
      <c r="Z146" s="10">
        <f t="shared" si="34"/>
        <v>71821</v>
      </c>
      <c r="AA146" s="10">
        <v>72076</v>
      </c>
      <c r="AB146" s="10">
        <f>Table2691214203040547082981126101418222655[[#This Row],[KM Final]]-Table2691214203040547082981126101418222655[[#This Row],[KM Inicial]]</f>
        <v>255</v>
      </c>
      <c r="AC146" s="10">
        <v>272</v>
      </c>
      <c r="AD146" s="11">
        <f>Table2691214203040547082981126101418222655[[#This Row],[KM Rodado]]/Table2691214203040547082981126101418222655[[#This Row],[Consumo Lt]]</f>
        <v>0.9375</v>
      </c>
      <c r="AE146" s="18"/>
      <c r="AF146" s="12">
        <v>1648.32</v>
      </c>
      <c r="AH146" s="8"/>
      <c r="AJ146" s="16">
        <v>46122</v>
      </c>
      <c r="AK146" s="10">
        <f t="shared" si="35"/>
        <v>87683</v>
      </c>
      <c r="AL146" s="10">
        <v>88521</v>
      </c>
      <c r="AM146" s="10">
        <f>Table2691214203040547082981124812162024284678[[#This Row],[KM Final]]-Table2691214203040547082981124812162024284678[[#This Row],[KM Inicial]]</f>
        <v>838</v>
      </c>
      <c r="AN146" s="10">
        <v>326</v>
      </c>
      <c r="AO146" s="11">
        <f>Table2691214203040547082981124812162024284678[[#This Row],[KM Rodado]]/Table2691214203040547082981124812162024284678[[#This Row],[Consumo Lt]]</f>
        <v>2.5705521472392636</v>
      </c>
      <c r="AP146" s="11">
        <v>22</v>
      </c>
      <c r="AQ146" s="12">
        <v>2281.91</v>
      </c>
      <c r="AS146" s="8"/>
      <c r="AU146" s="75"/>
      <c r="AV146" s="16">
        <v>46151</v>
      </c>
      <c r="AW146" s="10">
        <f t="shared" si="36"/>
        <v>99045</v>
      </c>
      <c r="AX146" s="10">
        <v>99673</v>
      </c>
      <c r="AY146" s="10">
        <f>Table2691214203040547082981124812162024284678142[[#This Row],[KM Final]]-Table2691214203040547082981124812162024284678142[[#This Row],[KM Inicial]]</f>
        <v>628</v>
      </c>
      <c r="AZ146" s="10">
        <v>445</v>
      </c>
      <c r="BA146" s="11">
        <f>Table2691214203040547082981124812162024284678142[[#This Row],[KM Rodado]]/Table2691214203040547082981124812162024284678142[[#This Row],[Consumo Lt]]</f>
        <v>1.4112359550561797</v>
      </c>
      <c r="BB146" s="18">
        <v>56</v>
      </c>
      <c r="BC146" s="12">
        <v>2967.8</v>
      </c>
      <c r="BE146" s="8"/>
      <c r="BG146" s="72"/>
      <c r="BH146" s="16">
        <v>46186</v>
      </c>
      <c r="BI146" s="10">
        <f t="shared" si="37"/>
        <v>114040</v>
      </c>
      <c r="BJ146" s="10">
        <v>115057</v>
      </c>
      <c r="BK146" s="6"/>
      <c r="BL146" s="6"/>
      <c r="BM146" s="77"/>
      <c r="BN146" s="18"/>
      <c r="BO146" s="12">
        <v>1003.5</v>
      </c>
      <c r="BQ146" s="8"/>
    </row>
    <row r="147" spans="1:69">
      <c r="A147" s="72"/>
      <c r="B147" s="16">
        <v>46041</v>
      </c>
      <c r="C147" s="10">
        <f t="shared" si="32"/>
        <v>45284</v>
      </c>
      <c r="D147" s="10">
        <v>46331</v>
      </c>
      <c r="E147" s="10">
        <f>Table26912142030405470829811261014182226[[#This Row],[KM Final]]-Table26912142030405470829811261014182226[[#This Row],[KM Inicial]]</f>
        <v>1047</v>
      </c>
      <c r="F147" s="10">
        <v>382.01</v>
      </c>
      <c r="G147" s="11">
        <f>Table26912142030405470829811261014182226[[#This Row],[KM Rodado]]/Table26912142030405470829811261014182226[[#This Row],[Consumo Lt]]</f>
        <v>2.7407659485353788</v>
      </c>
      <c r="H147" s="18">
        <v>25.71</v>
      </c>
      <c r="I147" s="12">
        <v>2777.32</v>
      </c>
      <c r="K147" s="8"/>
      <c r="M147" s="16">
        <v>46062</v>
      </c>
      <c r="N147" s="10">
        <f t="shared" si="33"/>
        <v>57457</v>
      </c>
      <c r="O147" s="10">
        <v>58636</v>
      </c>
      <c r="P147" s="10">
        <f>Table269121420304054708298112481216202428[[#This Row],[KM Final]]-Table269121420304054708298112481216202428[[#This Row],[KM Inicial]]</f>
        <v>1179</v>
      </c>
      <c r="Q147" s="10">
        <v>481</v>
      </c>
      <c r="R147" s="11">
        <f>Table269121420304054708298112481216202428[[#This Row],[KM Rodado]]/Table269121420304054708298112481216202428[[#This Row],[Consumo Lt]]</f>
        <v>2.4511434511434511</v>
      </c>
      <c r="S147" s="18">
        <v>38</v>
      </c>
      <c r="T147" s="12">
        <v>2317.34</v>
      </c>
      <c r="V147" s="8"/>
      <c r="X147" s="72"/>
      <c r="Y147" s="16">
        <v>46091</v>
      </c>
      <c r="Z147" s="10">
        <f t="shared" si="34"/>
        <v>72076</v>
      </c>
      <c r="AA147" s="10">
        <v>73184</v>
      </c>
      <c r="AB147" s="10">
        <f>Table2691214203040547082981126101418222655[[#This Row],[KM Final]]-Table2691214203040547082981126101418222655[[#This Row],[KM Inicial]]</f>
        <v>1108</v>
      </c>
      <c r="AC147" s="10">
        <v>346</v>
      </c>
      <c r="AD147" s="11">
        <f>Table2691214203040547082981126101418222655[[#This Row],[KM Rodado]]/Table2691214203040547082981126101418222655[[#This Row],[Consumo Lt]]</f>
        <v>3.2023121387283235</v>
      </c>
      <c r="AE147" s="18">
        <v>39</v>
      </c>
      <c r="AF147" s="12">
        <v>2225.7600000000002</v>
      </c>
      <c r="AH147" s="8"/>
      <c r="AJ147" s="16">
        <v>46126</v>
      </c>
      <c r="AK147" s="10">
        <f t="shared" si="35"/>
        <v>88521</v>
      </c>
      <c r="AL147" s="10">
        <v>89598</v>
      </c>
      <c r="AM147" s="10">
        <f>Table2691214203040547082981124812162024284678[[#This Row],[KM Final]]-Table2691214203040547082981124812162024284678[[#This Row],[KM Inicial]]</f>
        <v>1077</v>
      </c>
      <c r="AN147" s="10">
        <v>395</v>
      </c>
      <c r="AO147" s="11">
        <f>Table2691214203040547082981124812162024284678[[#This Row],[KM Rodado]]/Table2691214203040547082981124812162024284678[[#This Row],[Consumo Lt]]</f>
        <v>2.7265822784810125</v>
      </c>
      <c r="AP147" s="11"/>
      <c r="AQ147" s="12">
        <v>2804.95</v>
      </c>
      <c r="AS147" s="8"/>
      <c r="AU147" s="75"/>
      <c r="AV147" s="16">
        <v>46154</v>
      </c>
      <c r="AW147" s="10">
        <f t="shared" si="36"/>
        <v>99673</v>
      </c>
      <c r="AX147" s="10">
        <v>100637</v>
      </c>
      <c r="AY147" s="10">
        <f>Table2691214203040547082981124812162024284678142[[#This Row],[KM Final]]-Table2691214203040547082981124812162024284678142[[#This Row],[KM Inicial]]</f>
        <v>964</v>
      </c>
      <c r="AZ147" s="10">
        <v>340</v>
      </c>
      <c r="BA147" s="11">
        <f>Table2691214203040547082981124812162024284678142[[#This Row],[KM Rodado]]/Table2691214203040547082981124812162024284678142[[#This Row],[Consumo Lt]]</f>
        <v>2.835294117647059</v>
      </c>
      <c r="BB147" s="18"/>
      <c r="BC147" s="12">
        <v>2189.66</v>
      </c>
      <c r="BE147" s="8"/>
      <c r="BG147" s="72"/>
      <c r="BH147" s="16">
        <v>46186</v>
      </c>
      <c r="BI147" s="10">
        <f t="shared" si="37"/>
        <v>115057</v>
      </c>
      <c r="BJ147" s="10">
        <v>115342</v>
      </c>
      <c r="BK147" s="10">
        <v>1302</v>
      </c>
      <c r="BL147" s="10">
        <v>440</v>
      </c>
      <c r="BM147" s="31">
        <f>Table2691214203040547082981126101418222682[[#This Row],[KM Rodado]]/Table2691214203040547082981126101418222682[[#This Row],[Consumo Lt]]</f>
        <v>2.959090909090909</v>
      </c>
      <c r="BN147" s="18">
        <v>48</v>
      </c>
      <c r="BO147" s="12">
        <v>1997.12</v>
      </c>
      <c r="BQ147" s="8"/>
    </row>
    <row r="148" spans="1:69">
      <c r="A148" s="72"/>
      <c r="B148" s="16">
        <v>46042</v>
      </c>
      <c r="C148" s="10">
        <f t="shared" si="32"/>
        <v>46331</v>
      </c>
      <c r="D148" s="10">
        <v>47140</v>
      </c>
      <c r="E148" s="10">
        <f>Table26912142030405470829811261014182226[[#This Row],[KM Final]]-Table26912142030405470829811261014182226[[#This Row],[KM Inicial]]</f>
        <v>809</v>
      </c>
      <c r="F148" s="10">
        <v>278.57</v>
      </c>
      <c r="G148" s="11">
        <f>Table26912142030405470829811261014182226[[#This Row],[KM Rodado]]/Table26912142030405470829811261014182226[[#This Row],[Consumo Lt]]</f>
        <v>2.9041174570126</v>
      </c>
      <c r="H148" s="18">
        <v>14.94</v>
      </c>
      <c r="I148" s="12">
        <v>1581.97</v>
      </c>
      <c r="K148" s="8"/>
      <c r="M148" s="16">
        <v>46065</v>
      </c>
      <c r="N148" s="10">
        <f t="shared" si="33"/>
        <v>58636</v>
      </c>
      <c r="O148" s="10">
        <v>59865</v>
      </c>
      <c r="P148" s="10">
        <f>Table269121420304054708298112481216202428[[#This Row],[KM Final]]-Table269121420304054708298112481216202428[[#This Row],[KM Inicial]]</f>
        <v>1229</v>
      </c>
      <c r="Q148" s="10">
        <v>438</v>
      </c>
      <c r="R148" s="11">
        <f>Table269121420304054708298112481216202428[[#This Row],[KM Rodado]]/Table269121420304054708298112481216202428[[#This Row],[Consumo Lt]]</f>
        <v>2.8059360730593608</v>
      </c>
      <c r="S148" s="18">
        <v>30</v>
      </c>
      <c r="T148" s="12">
        <v>2509.84</v>
      </c>
      <c r="V148" s="8"/>
      <c r="X148" s="72"/>
      <c r="Y148" s="16">
        <v>46092</v>
      </c>
      <c r="Z148" s="10">
        <f t="shared" si="34"/>
        <v>73184</v>
      </c>
      <c r="AA148" s="10">
        <v>73696</v>
      </c>
      <c r="AB148" s="10">
        <f>Table2691214203040547082981126101418222655[[#This Row],[KM Final]]-Table2691214203040547082981126101418222655[[#This Row],[KM Inicial]]</f>
        <v>512</v>
      </c>
      <c r="AC148" s="10">
        <v>171</v>
      </c>
      <c r="AD148" s="11">
        <f>Table2691214203040547082981126101418222655[[#This Row],[KM Rodado]]/Table2691214203040547082981126101418222655[[#This Row],[Consumo Lt]]</f>
        <v>2.9941520467836256</v>
      </c>
      <c r="AE148" s="18"/>
      <c r="AF148" s="12">
        <v>1053.48</v>
      </c>
      <c r="AH148" s="8"/>
      <c r="AJ148" s="16">
        <v>46132</v>
      </c>
      <c r="AK148" s="10">
        <f t="shared" si="35"/>
        <v>89598</v>
      </c>
      <c r="AL148" s="10">
        <v>90607</v>
      </c>
      <c r="AM148" s="10">
        <f>Table2691214203040547082981124812162024284678[[#This Row],[KM Final]]-Table2691214203040547082981124812162024284678[[#This Row],[KM Inicial]]</f>
        <v>1009</v>
      </c>
      <c r="AN148" s="10">
        <v>403</v>
      </c>
      <c r="AO148" s="11">
        <f>Table2691214203040547082981124812162024284678[[#This Row],[KM Rodado]]/Table2691214203040547082981124812162024284678[[#This Row],[Consumo Lt]]</f>
        <v>2.5037220843672459</v>
      </c>
      <c r="AP148" s="11"/>
      <c r="AQ148" s="12">
        <v>2820.14</v>
      </c>
      <c r="AS148" s="8"/>
      <c r="AU148" s="75"/>
      <c r="AV148" s="16">
        <v>46155</v>
      </c>
      <c r="AW148" s="10">
        <f t="shared" si="36"/>
        <v>100637</v>
      </c>
      <c r="AX148" s="10">
        <v>101385</v>
      </c>
      <c r="AY148" s="10">
        <f>Table2691214203040547082981124812162024284678142[[#This Row],[KM Final]]-Table2691214203040547082981124812162024284678142[[#This Row],[KM Inicial]]</f>
        <v>748</v>
      </c>
      <c r="AZ148" s="10">
        <v>238</v>
      </c>
      <c r="BA148" s="11">
        <f>Table2691214203040547082981124812162024284678142[[#This Row],[KM Rodado]]/Table2691214203040547082981124812162024284678142[[#This Row],[Consumo Lt]]</f>
        <v>3.1428571428571428</v>
      </c>
      <c r="BB148" s="18">
        <v>36</v>
      </c>
      <c r="BC148" s="12">
        <v>1665.83</v>
      </c>
      <c r="BE148" s="8"/>
      <c r="BG148" s="72"/>
      <c r="BH148" s="16">
        <v>46188</v>
      </c>
      <c r="BI148" s="10">
        <f t="shared" si="37"/>
        <v>115342</v>
      </c>
      <c r="BJ148" s="10">
        <v>115669</v>
      </c>
      <c r="BK148" s="10"/>
      <c r="BL148" s="10"/>
      <c r="BM148" s="11"/>
      <c r="BN148" s="18"/>
      <c r="BO148" s="12">
        <v>661</v>
      </c>
      <c r="BQ148" s="8"/>
    </row>
    <row r="149" spans="1:69">
      <c r="A149" s="72"/>
      <c r="B149" s="16">
        <v>46043</v>
      </c>
      <c r="C149" s="10">
        <f t="shared" si="32"/>
        <v>47140</v>
      </c>
      <c r="D149" s="10">
        <v>47737</v>
      </c>
      <c r="E149" s="10">
        <f>Table26912142030405470829811261014182226[[#This Row],[KM Final]]-Table26912142030405470829811261014182226[[#This Row],[KM Inicial]]</f>
        <v>597</v>
      </c>
      <c r="F149" s="10">
        <v>208</v>
      </c>
      <c r="G149" s="11">
        <f>Table26912142030405470829811261014182226[[#This Row],[KM Rodado]]/Table26912142030405470829811261014182226[[#This Row],[Consumo Lt]]</f>
        <v>2.8701923076923075</v>
      </c>
      <c r="H149" s="18">
        <v>21.81</v>
      </c>
      <c r="I149" s="12">
        <v>1232.19</v>
      </c>
      <c r="K149" s="8"/>
      <c r="M149" s="16">
        <v>46067</v>
      </c>
      <c r="N149" s="10">
        <f t="shared" si="33"/>
        <v>59865</v>
      </c>
      <c r="O149" s="10">
        <v>60542</v>
      </c>
      <c r="P149" s="10">
        <f>Table269121420304054708298112481216202428[[#This Row],[KM Final]]-Table269121420304054708298112481216202428[[#This Row],[KM Inicial]]</f>
        <v>677</v>
      </c>
      <c r="Q149" s="10">
        <v>240</v>
      </c>
      <c r="R149" s="11">
        <f>Table269121420304054708298112481216202428[[#This Row],[KM Rodado]]/Table269121420304054708298112481216202428[[#This Row],[Consumo Lt]]</f>
        <v>2.8208333333333333</v>
      </c>
      <c r="S149" s="18">
        <v>9</v>
      </c>
      <c r="T149" s="12">
        <v>1372.46</v>
      </c>
      <c r="V149" s="8"/>
      <c r="X149" s="72"/>
      <c r="Y149" s="16">
        <v>46095</v>
      </c>
      <c r="Z149" s="10">
        <f t="shared" si="34"/>
        <v>73696</v>
      </c>
      <c r="AA149" s="10">
        <v>74892</v>
      </c>
      <c r="AB149" s="10">
        <f>Table2691214203040547082981126101418222655[[#This Row],[KM Final]]-Table2691214203040547082981126101418222655[[#This Row],[KM Inicial]]</f>
        <v>1196</v>
      </c>
      <c r="AC149" s="10">
        <v>119</v>
      </c>
      <c r="AD149" s="11">
        <f>Table2691214203040547082981126101418222655[[#This Row],[KM Rodado]]/Table2691214203040547082981126101418222655[[#This Row],[Consumo Lt]]</f>
        <v>10.050420168067227</v>
      </c>
      <c r="AE149" s="18"/>
      <c r="AF149" s="12">
        <v>800</v>
      </c>
      <c r="AH149" s="8"/>
      <c r="AJ149" s="16">
        <v>46135</v>
      </c>
      <c r="AK149" s="10">
        <f t="shared" si="35"/>
        <v>90607</v>
      </c>
      <c r="AL149" s="10">
        <v>91463</v>
      </c>
      <c r="AM149" s="10">
        <f>Table2691214203040547082981124812162024284678[[#This Row],[KM Final]]-Table2691214203040547082981124812162024284678[[#This Row],[KM Inicial]]</f>
        <v>856</v>
      </c>
      <c r="AN149" s="10">
        <v>316</v>
      </c>
      <c r="AO149" s="11">
        <f>Table2691214203040547082981124812162024284678[[#This Row],[KM Rodado]]/Table2691214203040547082981124812162024284678[[#This Row],[Consumo Lt]]</f>
        <v>2.7088607594936707</v>
      </c>
      <c r="AP149" s="11">
        <v>61</v>
      </c>
      <c r="AQ149" s="12">
        <v>2248.6999999999998</v>
      </c>
      <c r="AS149" s="8"/>
      <c r="AU149" s="75"/>
      <c r="AV149" s="16">
        <v>46157</v>
      </c>
      <c r="AW149" s="10">
        <f t="shared" si="36"/>
        <v>101385</v>
      </c>
      <c r="AX149" s="10">
        <v>102522</v>
      </c>
      <c r="AY149" s="10">
        <f>Table2691214203040547082981124812162024284678142[[#This Row],[KM Final]]-Table2691214203040547082981124812162024284678142[[#This Row],[KM Inicial]]</f>
        <v>1137</v>
      </c>
      <c r="AZ149" s="10">
        <v>200</v>
      </c>
      <c r="BA149" s="11">
        <f>Table2691214203040547082981124812162024284678142[[#This Row],[KM Rodado]]/Table2691214203040547082981124812162024284678142[[#This Row],[Consumo Lt]]</f>
        <v>5.6849999999999996</v>
      </c>
      <c r="BB149" s="18"/>
      <c r="BC149" s="12">
        <v>1358</v>
      </c>
      <c r="BE149" s="8"/>
      <c r="BG149" s="72"/>
      <c r="BH149" s="16">
        <v>46189</v>
      </c>
      <c r="BI149" s="10">
        <f t="shared" si="37"/>
        <v>115669</v>
      </c>
      <c r="BJ149" s="10">
        <v>116322</v>
      </c>
      <c r="BK149" s="10">
        <v>980</v>
      </c>
      <c r="BL149" s="10">
        <v>313</v>
      </c>
      <c r="BM149" s="11">
        <f>Table2691214203040547082981126101418222682[[#This Row],[KM Rodado]]/Table2691214203040547082981126101418222682[[#This Row],[Consumo Lt]]</f>
        <v>3.1309904153354631</v>
      </c>
      <c r="BN149" s="18"/>
      <c r="BO149" s="12">
        <v>1344.05</v>
      </c>
      <c r="BQ149" s="8"/>
    </row>
    <row r="150" spans="1:69">
      <c r="A150" s="72"/>
      <c r="B150" s="16">
        <v>46045</v>
      </c>
      <c r="C150" s="10">
        <f t="shared" si="32"/>
        <v>47737</v>
      </c>
      <c r="D150" s="10">
        <v>48799</v>
      </c>
      <c r="E150" s="10">
        <f>Table26912142030405470829811261014182226[[#This Row],[KM Final]]-Table26912142030405470829811261014182226[[#This Row],[KM Inicial]]</f>
        <v>1062</v>
      </c>
      <c r="F150" s="10">
        <v>400.01</v>
      </c>
      <c r="G150" s="11">
        <f>Table26912142030405470829811261014182226[[#This Row],[KM Rodado]]/Table26912142030405470829811261014182226[[#This Row],[Consumo Lt]]</f>
        <v>2.6549336266593335</v>
      </c>
      <c r="H150" s="18">
        <v>29.51</v>
      </c>
      <c r="I150" s="12">
        <v>2331.23</v>
      </c>
      <c r="K150" s="8"/>
      <c r="M150" s="16">
        <v>46069</v>
      </c>
      <c r="N150" s="10">
        <f t="shared" si="33"/>
        <v>60542</v>
      </c>
      <c r="O150" s="47">
        <v>61479</v>
      </c>
      <c r="P150" s="10">
        <f>Table269121420304054708298112481216202428[[#This Row],[KM Final]]-Table269121420304054708298112481216202428[[#This Row],[KM Inicial]]</f>
        <v>937</v>
      </c>
      <c r="Q150" s="10">
        <v>354</v>
      </c>
      <c r="R150" s="11">
        <f>Table269121420304054708298112481216202428[[#This Row],[KM Rodado]]/Table269121420304054708298112481216202428[[#This Row],[Consumo Lt]]</f>
        <v>2.6468926553672318</v>
      </c>
      <c r="S150" s="18"/>
      <c r="T150" s="12">
        <v>2014.01</v>
      </c>
      <c r="V150" s="8"/>
      <c r="X150" s="72"/>
      <c r="Y150" s="16">
        <v>46095</v>
      </c>
      <c r="Z150" s="10">
        <f t="shared" si="34"/>
        <v>74892</v>
      </c>
      <c r="AA150" s="10">
        <v>75230</v>
      </c>
      <c r="AB150" s="10">
        <f>Table2691214203040547082981126101418222655[[#This Row],[KM Final]]-Table2691214203040547082981126101418222655[[#This Row],[KM Inicial]]</f>
        <v>338</v>
      </c>
      <c r="AC150" s="10">
        <v>423</v>
      </c>
      <c r="AD150" s="11">
        <f>Table2691214203040547082981126101418222655[[#This Row],[KM Rodado]]/Table2691214203040547082981126101418222655[[#This Row],[Consumo Lt]]</f>
        <v>0.79905437352245867</v>
      </c>
      <c r="AE150" s="18">
        <v>43</v>
      </c>
      <c r="AF150" s="12">
        <v>1764.45</v>
      </c>
      <c r="AH150" s="8"/>
      <c r="AJ150" s="16">
        <v>46136</v>
      </c>
      <c r="AK150" s="10">
        <f t="shared" si="35"/>
        <v>91463</v>
      </c>
      <c r="AL150" s="47">
        <v>92291</v>
      </c>
      <c r="AM150" s="10">
        <f>Table2691214203040547082981124812162024284678[[#This Row],[KM Final]]-Table2691214203040547082981124812162024284678[[#This Row],[KM Inicial]]</f>
        <v>828</v>
      </c>
      <c r="AN150" s="10">
        <v>275</v>
      </c>
      <c r="AO150" s="11">
        <f>Table2691214203040547082981124812162024284678[[#This Row],[KM Rodado]]/Table2691214203040547082981124812162024284678[[#This Row],[Consumo Lt]]</f>
        <v>3.0109090909090908</v>
      </c>
      <c r="AP150" s="11"/>
      <c r="AQ150" s="12">
        <v>1889.29</v>
      </c>
      <c r="AS150" s="8"/>
      <c r="AU150" s="75"/>
      <c r="AV150" s="16">
        <v>46158</v>
      </c>
      <c r="AW150" s="10">
        <f t="shared" si="36"/>
        <v>102522</v>
      </c>
      <c r="AX150" s="47">
        <v>103239</v>
      </c>
      <c r="AY150" s="10">
        <f>Table2691214203040547082981124812162024284678142[[#This Row],[KM Final]]-Table2691214203040547082981124812162024284678142[[#This Row],[KM Inicial]]</f>
        <v>717</v>
      </c>
      <c r="AZ150" s="10">
        <v>50</v>
      </c>
      <c r="BA150" s="11">
        <f>Table2691214203040547082981124812162024284678142[[#This Row],[KM Rodado]]/Table2691214203040547082981124812162024284678142[[#This Row],[Consumo Lt]]</f>
        <v>14.34</v>
      </c>
      <c r="BB150" s="18"/>
      <c r="BC150" s="12">
        <v>339.56</v>
      </c>
      <c r="BE150" s="8"/>
      <c r="BG150" s="72"/>
      <c r="BH150" s="16">
        <v>46191</v>
      </c>
      <c r="BI150" s="10">
        <f t="shared" si="37"/>
        <v>116322</v>
      </c>
      <c r="BJ150" s="10">
        <v>117490</v>
      </c>
      <c r="BK150" s="10"/>
      <c r="BL150" s="10"/>
      <c r="BM150" s="11"/>
      <c r="BN150" s="18"/>
      <c r="BO150" s="12">
        <v>689</v>
      </c>
      <c r="BQ150" s="8"/>
    </row>
    <row r="151" spans="1:69">
      <c r="A151" s="72"/>
      <c r="B151" s="16">
        <v>46047</v>
      </c>
      <c r="C151" s="10">
        <f t="shared" si="32"/>
        <v>48799</v>
      </c>
      <c r="D151" s="10">
        <v>49661</v>
      </c>
      <c r="E151" s="10">
        <f>Table26912142030405470829811261014182226[[#This Row],[KM Final]]-Table26912142030405470829811261014182226[[#This Row],[KM Inicial]]</f>
        <v>862</v>
      </c>
      <c r="F151" s="10">
        <v>279</v>
      </c>
      <c r="G151" s="31">
        <f>Table26912142030405470829811261014182226[[#This Row],[KM Rodado]]/Table26912142030405470829811261014182226[[#This Row],[Consumo Lt]]</f>
        <v>3.0896057347670252</v>
      </c>
      <c r="H151" s="18"/>
      <c r="I151" s="12">
        <v>1540.13</v>
      </c>
      <c r="K151" s="14"/>
      <c r="M151" s="16">
        <v>46071</v>
      </c>
      <c r="N151" s="10">
        <f t="shared" si="33"/>
        <v>61479</v>
      </c>
      <c r="O151" s="10">
        <v>62300</v>
      </c>
      <c r="P151" s="10">
        <f>Table269121420304054708298112481216202428[[#This Row],[KM Final]]-Table269121420304054708298112481216202428[[#This Row],[KM Inicial]]</f>
        <v>821</v>
      </c>
      <c r="Q151" s="10">
        <v>301</v>
      </c>
      <c r="R151" s="11">
        <f>Table269121420304054708298112481216202428[[#This Row],[KM Rodado]]/Table269121420304054708298112481216202428[[#This Row],[Consumo Lt]]</f>
        <v>2.727574750830565</v>
      </c>
      <c r="S151" s="18">
        <v>31</v>
      </c>
      <c r="T151" s="12">
        <v>1753.91</v>
      </c>
      <c r="V151" s="14"/>
      <c r="X151" s="72"/>
      <c r="Y151" s="16">
        <v>46097</v>
      </c>
      <c r="Z151" s="10">
        <f t="shared" si="34"/>
        <v>75230</v>
      </c>
      <c r="AA151" s="10">
        <v>75834</v>
      </c>
      <c r="AB151" s="10">
        <f>Table2691214203040547082981126101418222655[[#This Row],[KM Final]]-Table2691214203040547082981126101418222655[[#This Row],[KM Inicial]]</f>
        <v>604</v>
      </c>
      <c r="AC151" s="10">
        <v>215</v>
      </c>
      <c r="AD151" s="31">
        <f>Table2691214203040547082981126101418222655[[#This Row],[KM Rodado]]/Table2691214203040547082981126101418222655[[#This Row],[Consumo Lt]]</f>
        <v>2.8093023255813954</v>
      </c>
      <c r="AE151" s="18"/>
      <c r="AF151" s="12">
        <v>1374.86</v>
      </c>
      <c r="AH151" s="14"/>
      <c r="AJ151" s="16">
        <v>46137</v>
      </c>
      <c r="AK151" s="10">
        <f t="shared" si="35"/>
        <v>92291</v>
      </c>
      <c r="AL151" s="10">
        <v>93311</v>
      </c>
      <c r="AM151" s="10">
        <f>Table2691214203040547082981124812162024284678[[#This Row],[KM Final]]-Table2691214203040547082981124812162024284678[[#This Row],[KM Inicial]]</f>
        <v>1020</v>
      </c>
      <c r="AN151" s="10">
        <v>280</v>
      </c>
      <c r="AO151" s="11">
        <f>Table2691214203040547082981124812162024284678[[#This Row],[KM Rodado]]/Table2691214203040547082981124812162024284678[[#This Row],[Consumo Lt]]</f>
        <v>3.6428571428571428</v>
      </c>
      <c r="AP151" s="11"/>
      <c r="AQ151" s="12">
        <v>1825.6</v>
      </c>
      <c r="AS151" s="14"/>
      <c r="AU151" s="75"/>
      <c r="AV151" s="16">
        <v>46158</v>
      </c>
      <c r="AW151" s="10">
        <f t="shared" si="36"/>
        <v>103239</v>
      </c>
      <c r="AX151" s="10">
        <v>103253</v>
      </c>
      <c r="AY151" s="10">
        <f>Table2691214203040547082981124812162024284678142[[#This Row],[KM Final]]-Table2691214203040547082981124812162024284678142[[#This Row],[KM Inicial]]</f>
        <v>14</v>
      </c>
      <c r="AZ151" s="10">
        <v>412</v>
      </c>
      <c r="BA151" s="11">
        <f>Table2691214203040547082981124812162024284678142[[#This Row],[KM Rodado]]/Table2691214203040547082981124812162024284678142[[#This Row],[Consumo Lt]]</f>
        <v>3.3980582524271843E-2</v>
      </c>
      <c r="BB151" s="18">
        <v>45</v>
      </c>
      <c r="BC151" s="12">
        <v>2817.83</v>
      </c>
      <c r="BE151" s="14"/>
      <c r="BG151" s="72"/>
      <c r="BH151" s="16">
        <v>46192</v>
      </c>
      <c r="BI151" s="10">
        <f t="shared" si="37"/>
        <v>117490</v>
      </c>
      <c r="BJ151" s="10">
        <v>117779</v>
      </c>
      <c r="BK151" s="10">
        <v>1457</v>
      </c>
      <c r="BL151" s="10">
        <v>523</v>
      </c>
      <c r="BM151" s="11">
        <f>Table2691214203040547082981126101418222682[[#This Row],[KM Rodado]]/Table2691214203040547082981126101418222682[[#This Row],[Consumo Lt]]</f>
        <v>2.7858508604206502</v>
      </c>
      <c r="BN151" s="18">
        <v>44</v>
      </c>
      <c r="BO151" s="12">
        <v>2981.48</v>
      </c>
      <c r="BQ151" s="14"/>
    </row>
    <row r="152" spans="1:69">
      <c r="A152" s="72"/>
      <c r="B152" s="16">
        <v>46047</v>
      </c>
      <c r="C152" s="10">
        <f t="shared" si="32"/>
        <v>49661</v>
      </c>
      <c r="D152" s="10">
        <v>49990</v>
      </c>
      <c r="E152" s="10">
        <f>Table26912142030405470829811261014182226[[#This Row],[KM Final]]-Table26912142030405470829811261014182226[[#This Row],[KM Inicial]]</f>
        <v>329</v>
      </c>
      <c r="F152" s="10">
        <v>130</v>
      </c>
      <c r="G152" s="11">
        <f>Table26912142030405470829811261014182226[[#This Row],[KM Rodado]]/Table26912142030405470829811261014182226[[#This Row],[Consumo Lt]]</f>
        <v>2.5307692307692307</v>
      </c>
      <c r="H152" s="18"/>
      <c r="I152" s="12">
        <v>728</v>
      </c>
      <c r="K152" s="8"/>
      <c r="M152" s="16">
        <v>46072</v>
      </c>
      <c r="N152" s="10">
        <f t="shared" si="33"/>
        <v>62300</v>
      </c>
      <c r="O152" s="10">
        <v>62813</v>
      </c>
      <c r="P152" s="10">
        <f>Table269121420304054708298112481216202428[[#This Row],[KM Final]]-Table269121420304054708298112481216202428[[#This Row],[KM Inicial]]</f>
        <v>513</v>
      </c>
      <c r="Q152" s="10">
        <v>143</v>
      </c>
      <c r="R152" s="11">
        <f>Table269121420304054708298112481216202428[[#This Row],[KM Rodado]]/Table269121420304054708298112481216202428[[#This Row],[Consumo Lt]]</f>
        <v>3.5874125874125875</v>
      </c>
      <c r="S152" s="18"/>
      <c r="T152" s="12">
        <v>799.38</v>
      </c>
      <c r="V152" s="8"/>
      <c r="X152" s="72"/>
      <c r="Y152" s="16">
        <v>46099</v>
      </c>
      <c r="Z152" s="10">
        <f t="shared" si="34"/>
        <v>75834</v>
      </c>
      <c r="AA152" s="10">
        <v>76941</v>
      </c>
      <c r="AB152" s="10">
        <f>Table2691214203040547082981126101418222655[[#This Row],[KM Final]]-Table2691214203040547082981126101418222655[[#This Row],[KM Inicial]]</f>
        <v>1107</v>
      </c>
      <c r="AC152" s="10">
        <v>250</v>
      </c>
      <c r="AD152" s="11">
        <f>Table2691214203040547082981126101418222655[[#This Row],[KM Rodado]]/Table2691214203040547082981126101418222655[[#This Row],[Consumo Lt]]</f>
        <v>4.4279999999999999</v>
      </c>
      <c r="AE152" s="18"/>
      <c r="AF152" s="12">
        <v>1822.5</v>
      </c>
      <c r="AH152" s="8"/>
      <c r="AJ152" s="16">
        <v>46138</v>
      </c>
      <c r="AK152" s="10">
        <f t="shared" si="35"/>
        <v>93311</v>
      </c>
      <c r="AL152" s="10">
        <v>93938</v>
      </c>
      <c r="AM152" s="10">
        <f>Table2691214203040547082981124812162024284678[[#This Row],[KM Final]]-Table2691214203040547082981124812162024284678[[#This Row],[KM Inicial]]</f>
        <v>627</v>
      </c>
      <c r="AN152" s="10">
        <v>317</v>
      </c>
      <c r="AO152" s="11">
        <f>Table2691214203040547082981124812162024284678[[#This Row],[KM Rodado]]/Table2691214203040547082981124812162024284678[[#This Row],[Consumo Lt]]</f>
        <v>1.9779179810725551</v>
      </c>
      <c r="AP152" s="11">
        <v>51</v>
      </c>
      <c r="AQ152" s="12">
        <v>2118.33</v>
      </c>
      <c r="AS152" s="8"/>
      <c r="AU152" s="75"/>
      <c r="AV152" s="16">
        <v>46160</v>
      </c>
      <c r="AW152" s="10">
        <f t="shared" si="36"/>
        <v>103253</v>
      </c>
      <c r="AX152" s="10">
        <v>104412</v>
      </c>
      <c r="AY152" s="10">
        <f>Table2691214203040547082981124812162024284678142[[#This Row],[KM Final]]-Table2691214203040547082981124812162024284678142[[#This Row],[KM Inicial]]</f>
        <v>1159</v>
      </c>
      <c r="AZ152" s="10">
        <v>382</v>
      </c>
      <c r="BA152" s="11">
        <f>Table2691214203040547082981124812162024284678142[[#This Row],[KM Rodado]]/Table2691214203040547082981124812162024284678142[[#This Row],[Consumo Lt]]</f>
        <v>3.0340314136125652</v>
      </c>
      <c r="BB152" s="18"/>
      <c r="BC152" s="12">
        <v>2490.6999999999998</v>
      </c>
      <c r="BE152" s="8"/>
      <c r="BG152" s="72"/>
      <c r="BH152" s="16">
        <v>46193</v>
      </c>
      <c r="BI152" s="10">
        <f t="shared" si="37"/>
        <v>117779</v>
      </c>
      <c r="BJ152" s="10">
        <v>118386</v>
      </c>
      <c r="BK152" s="10"/>
      <c r="BL152" s="10"/>
      <c r="BM152" s="11"/>
      <c r="BN152" s="18"/>
      <c r="BO152" s="12">
        <v>1288.79</v>
      </c>
      <c r="BQ152" s="8"/>
    </row>
    <row r="153" spans="1:69">
      <c r="A153" s="72"/>
      <c r="B153" s="16">
        <v>46049</v>
      </c>
      <c r="C153" s="10">
        <f t="shared" si="32"/>
        <v>49990</v>
      </c>
      <c r="D153" s="10">
        <v>50760</v>
      </c>
      <c r="E153" s="10">
        <f>Table26912142030405470829811261014182226[[#This Row],[KM Final]]-Table26912142030405470829811261014182226[[#This Row],[KM Inicial]]</f>
        <v>770</v>
      </c>
      <c r="F153" s="10">
        <v>200</v>
      </c>
      <c r="G153" s="11">
        <f>Table26912142030405470829811261014182226[[#This Row],[KM Rodado]]/Table26912142030405470829811261014182226[[#This Row],[Consumo Lt]]</f>
        <v>3.85</v>
      </c>
      <c r="H153" s="18"/>
      <c r="I153" s="12">
        <v>1148</v>
      </c>
      <c r="K153" s="8"/>
      <c r="M153" s="16">
        <v>46076</v>
      </c>
      <c r="N153" s="10">
        <f t="shared" si="33"/>
        <v>62813</v>
      </c>
      <c r="O153" s="10">
        <v>64035</v>
      </c>
      <c r="P153" s="10">
        <f>Table269121420304054708298112481216202428[[#This Row],[KM Final]]-Table269121420304054708298112481216202428[[#This Row],[KM Inicial]]</f>
        <v>1222</v>
      </c>
      <c r="Q153" s="10">
        <v>586</v>
      </c>
      <c r="R153" s="11">
        <f>Table269121420304054708298112481216202428[[#This Row],[KM Rodado]]/Table269121420304054708298112481216202428[[#This Row],[Consumo Lt]]</f>
        <v>2.0853242320819114</v>
      </c>
      <c r="S153" s="18"/>
      <c r="T153" s="12">
        <v>2530.2600000000002</v>
      </c>
      <c r="V153" s="8"/>
      <c r="X153" s="72"/>
      <c r="Y153" s="16">
        <v>46101</v>
      </c>
      <c r="Z153" s="10">
        <f t="shared" si="34"/>
        <v>76941</v>
      </c>
      <c r="AA153" s="10">
        <v>77755</v>
      </c>
      <c r="AB153" s="10">
        <f>Table2691214203040547082981126101418222655[[#This Row],[KM Final]]-Table2691214203040547082981126101418222655[[#This Row],[KM Inicial]]</f>
        <v>814</v>
      </c>
      <c r="AC153" s="10">
        <v>75</v>
      </c>
      <c r="AD153" s="11">
        <f>Table2691214203040547082981126101418222655[[#This Row],[KM Rodado]]/Table2691214203040547082981126101418222655[[#This Row],[Consumo Lt]]</f>
        <v>10.853333333333333</v>
      </c>
      <c r="AE153" s="18"/>
      <c r="AF153" s="12">
        <v>534.07000000000005</v>
      </c>
      <c r="AH153" s="8"/>
      <c r="AJ153" s="16">
        <v>46140</v>
      </c>
      <c r="AK153" s="10">
        <f t="shared" si="35"/>
        <v>93938</v>
      </c>
      <c r="AL153" s="10">
        <v>94804</v>
      </c>
      <c r="AM153" s="10">
        <f>Table2691214203040547082981124812162024284678[[#This Row],[KM Final]]-Table2691214203040547082981124812162024284678[[#This Row],[KM Inicial]]</f>
        <v>866</v>
      </c>
      <c r="AN153" s="10">
        <v>322</v>
      </c>
      <c r="AO153" s="11">
        <f>Table2691214203040547082981124812162024284678[[#This Row],[KM Rodado]]/Table2691214203040547082981124812162024284678[[#This Row],[Consumo Lt]]</f>
        <v>2.68944099378882</v>
      </c>
      <c r="AP153" s="18"/>
      <c r="AQ153" s="12">
        <v>2120.0100000000002</v>
      </c>
      <c r="AS153" s="8"/>
      <c r="AU153" s="75"/>
      <c r="AV153" s="16">
        <v>46161</v>
      </c>
      <c r="AW153" s="10">
        <f t="shared" si="36"/>
        <v>104412</v>
      </c>
      <c r="AX153" s="10">
        <v>104780</v>
      </c>
      <c r="AY153" s="10">
        <f>Table2691214203040547082981124812162024284678142[[#This Row],[KM Final]]-Table2691214203040547082981124812162024284678142[[#This Row],[KM Inicial]]</f>
        <v>368</v>
      </c>
      <c r="AZ153" s="10">
        <v>144</v>
      </c>
      <c r="BA153" s="11">
        <f>Table2691214203040547082981124812162024284678142[[#This Row],[KM Rodado]]/Table2691214203040547082981124812162024284678142[[#This Row],[Consumo Lt]]</f>
        <v>2.5555555555555554</v>
      </c>
      <c r="BB153" s="18">
        <v>31</v>
      </c>
      <c r="BC153" s="12">
        <v>1013.94</v>
      </c>
      <c r="BE153" s="8"/>
      <c r="BG153" s="72"/>
      <c r="BH153" s="16">
        <v>46195</v>
      </c>
      <c r="BI153" s="10">
        <f t="shared" si="37"/>
        <v>118386</v>
      </c>
      <c r="BJ153" s="10">
        <v>119254</v>
      </c>
      <c r="BK153" s="10">
        <v>1475</v>
      </c>
      <c r="BL153" s="10">
        <v>504</v>
      </c>
      <c r="BM153" s="11">
        <f>Table2691214203040547082981126101418222682[[#This Row],[KM Rodado]]/Table2691214203040547082981126101418222682[[#This Row],[Consumo Lt]]</f>
        <v>2.9265873015873014</v>
      </c>
      <c r="BN153" s="18"/>
      <c r="BO153" s="12">
        <v>1986.36</v>
      </c>
      <c r="BQ153" s="8"/>
    </row>
    <row r="154" spans="1:69">
      <c r="A154" s="72"/>
      <c r="B154" s="16">
        <v>46050</v>
      </c>
      <c r="C154" s="10">
        <f t="shared" si="32"/>
        <v>50760</v>
      </c>
      <c r="D154" s="10">
        <v>51223</v>
      </c>
      <c r="E154" s="10">
        <f>Table26912142030405470829811261014182226[[#This Row],[KM Final]]-Table26912142030405470829811261014182226[[#This Row],[KM Inicial]]</f>
        <v>463</v>
      </c>
      <c r="F154" s="10">
        <v>288</v>
      </c>
      <c r="G154" s="11">
        <f>Table26912142030405470829811261014182226[[#This Row],[KM Rodado]]/Table26912142030405470829811261014182226[[#This Row],[Consumo Lt]]</f>
        <v>1.6076388888888888</v>
      </c>
      <c r="H154" s="18">
        <v>10</v>
      </c>
      <c r="I154" s="12">
        <v>1649.18</v>
      </c>
      <c r="K154" s="8"/>
      <c r="M154" s="16">
        <v>46078</v>
      </c>
      <c r="N154" s="10">
        <f t="shared" si="33"/>
        <v>64035</v>
      </c>
      <c r="O154" s="10">
        <v>64893</v>
      </c>
      <c r="P154" s="10">
        <f>Table269121420304054708298112481216202428[[#This Row],[KM Final]]-Table269121420304054708298112481216202428[[#This Row],[KM Inicial]]</f>
        <v>858</v>
      </c>
      <c r="Q154" s="10">
        <v>292</v>
      </c>
      <c r="R154" s="11">
        <f>Table269121420304054708298112481216202428[[#This Row],[KM Rodado]]/Table269121420304054708298112481216202428[[#This Row],[Consumo Lt]]</f>
        <v>2.9383561643835616</v>
      </c>
      <c r="S154" s="18">
        <v>20</v>
      </c>
      <c r="T154" s="7">
        <v>1673.45</v>
      </c>
      <c r="V154" s="8"/>
      <c r="X154" s="72"/>
      <c r="Y154" s="16">
        <v>46101</v>
      </c>
      <c r="Z154" s="10">
        <f t="shared" si="34"/>
        <v>77755</v>
      </c>
      <c r="AA154" s="10">
        <v>77991</v>
      </c>
      <c r="AB154" s="10">
        <f>Table2691214203040547082981126101418222655[[#This Row],[KM Final]]-Table2691214203040547082981126101418222655[[#This Row],[KM Inicial]]</f>
        <v>236</v>
      </c>
      <c r="AC154" s="10">
        <v>369</v>
      </c>
      <c r="AD154" s="11">
        <f>Table2691214203040547082981126101418222655[[#This Row],[KM Rodado]]/Table2691214203040547082981126101418222655[[#This Row],[Consumo Lt]]</f>
        <v>0.63956639566395668</v>
      </c>
      <c r="AE154" s="18">
        <v>44</v>
      </c>
      <c r="AF154" s="12">
        <v>2750.15</v>
      </c>
      <c r="AH154" s="8"/>
      <c r="AJ154" s="16"/>
      <c r="AK154" s="19">
        <f t="shared" si="35"/>
        <v>94804</v>
      </c>
      <c r="AL154" s="10"/>
      <c r="AM154" s="10"/>
      <c r="AN154" s="10"/>
      <c r="AO154" s="11"/>
      <c r="AP154" s="18"/>
      <c r="AQ154" s="12"/>
      <c r="AS154" s="8"/>
      <c r="AU154" s="75"/>
      <c r="AV154" s="16">
        <v>46164</v>
      </c>
      <c r="AW154" s="10">
        <f t="shared" si="36"/>
        <v>104780</v>
      </c>
      <c r="AX154" s="10">
        <v>106058</v>
      </c>
      <c r="AY154" s="10">
        <f>Table2691214203040547082981124812162024284678142[[#This Row],[KM Final]]-Table2691214203040547082981124812162024284678142[[#This Row],[KM Inicial]]</f>
        <v>1278</v>
      </c>
      <c r="AZ154" s="10">
        <v>150</v>
      </c>
      <c r="BA154" s="11">
        <f>Table2691214203040547082981124812162024284678142[[#This Row],[KM Rodado]]/Table2691214203040547082981124812162024284678142[[#This Row],[Consumo Lt]]</f>
        <v>8.52</v>
      </c>
      <c r="BB154" s="18"/>
      <c r="BC154" s="12">
        <v>1048.5</v>
      </c>
      <c r="BE154" s="8"/>
      <c r="BG154" s="72"/>
      <c r="BH154" s="16">
        <v>46196</v>
      </c>
      <c r="BI154" s="10">
        <f t="shared" si="37"/>
        <v>119254</v>
      </c>
      <c r="BJ154" s="10">
        <v>119556</v>
      </c>
      <c r="BK154" s="10"/>
      <c r="BL154" s="10"/>
      <c r="BM154" s="11"/>
      <c r="BN154" s="18">
        <v>42</v>
      </c>
      <c r="BO154" s="12">
        <v>986.38</v>
      </c>
      <c r="BQ154" s="8"/>
    </row>
    <row r="155" spans="1:69">
      <c r="A155" s="72"/>
      <c r="B155" s="16">
        <v>46051</v>
      </c>
      <c r="C155" s="10">
        <f t="shared" si="32"/>
        <v>51223</v>
      </c>
      <c r="D155" s="10">
        <v>51921</v>
      </c>
      <c r="E155" s="10">
        <f>Table26912142030405470829811261014182226[[#This Row],[KM Final]]-Table26912142030405470829811261014182226[[#This Row],[KM Inicial]]</f>
        <v>698</v>
      </c>
      <c r="F155" s="10">
        <v>245</v>
      </c>
      <c r="G155" s="11">
        <f>Table26912142030405470829811261014182226[[#This Row],[KM Rodado]]/Table26912142030405470829811261014182226[[#This Row],[Consumo Lt]]</f>
        <v>2.8489795918367347</v>
      </c>
      <c r="H155" s="18">
        <v>59</v>
      </c>
      <c r="I155" s="12">
        <v>1526.24</v>
      </c>
      <c r="K155" s="8"/>
      <c r="M155" s="16">
        <v>46079</v>
      </c>
      <c r="N155" s="10">
        <f t="shared" si="33"/>
        <v>64893</v>
      </c>
      <c r="O155" s="10">
        <v>65266</v>
      </c>
      <c r="P155" s="10">
        <f>Table269121420304054708298112481216202428[[#This Row],[KM Final]]-Table269121420304054708298112481216202428[[#This Row],[KM Inicial]]</f>
        <v>373</v>
      </c>
      <c r="Q155" s="10">
        <v>130</v>
      </c>
      <c r="R155" s="11">
        <f>Table269121420304054708298112481216202428[[#This Row],[KM Rodado]]/Table269121420304054708298112481216202428[[#This Row],[Consumo Lt]]</f>
        <v>2.8692307692307693</v>
      </c>
      <c r="S155" s="18"/>
      <c r="T155" s="7">
        <v>721.03</v>
      </c>
      <c r="V155" s="8"/>
      <c r="X155" s="72"/>
      <c r="Y155" s="16">
        <v>46101</v>
      </c>
      <c r="Z155" s="10">
        <f t="shared" si="34"/>
        <v>77991</v>
      </c>
      <c r="AA155" s="10">
        <v>78972</v>
      </c>
      <c r="AB155" s="10">
        <f>Table2691214203040547082981126101418222655[[#This Row],[KM Final]]-Table2691214203040547082981126101418222655[[#This Row],[KM Inicial]]</f>
        <v>981</v>
      </c>
      <c r="AC155" s="10">
        <v>200</v>
      </c>
      <c r="AD155" s="11">
        <f>Table2691214203040547082981126101418222655[[#This Row],[KM Rodado]]/Table2691214203040547082981126101418222655[[#This Row],[Consumo Lt]]</f>
        <v>4.9050000000000002</v>
      </c>
      <c r="AE155" s="18"/>
      <c r="AF155" s="12">
        <v>1438</v>
      </c>
      <c r="AH155" s="8"/>
      <c r="AJ155" s="16"/>
      <c r="AK155" s="10"/>
      <c r="AL155" s="10"/>
      <c r="AM155" s="10"/>
      <c r="AN155" s="10"/>
      <c r="AO155" s="11"/>
      <c r="AP155" s="18"/>
      <c r="AQ155" s="12"/>
      <c r="AS155" s="8"/>
      <c r="AU155" s="75"/>
      <c r="AV155" s="16">
        <v>46166</v>
      </c>
      <c r="AW155" s="10">
        <f t="shared" si="36"/>
        <v>106058</v>
      </c>
      <c r="AX155" s="10">
        <v>106412</v>
      </c>
      <c r="AY155" s="10">
        <f>Table2691214203040547082981124812162024284678142[[#This Row],[KM Final]]-Table2691214203040547082981124812162024284678142[[#This Row],[KM Inicial]]</f>
        <v>354</v>
      </c>
      <c r="AZ155" s="10">
        <v>408</v>
      </c>
      <c r="BA155" s="11">
        <f>Table2691214203040547082981124812162024284678142[[#This Row],[KM Rodado]]/Table2691214203040547082981124812162024284678142[[#This Row],[Consumo Lt]]</f>
        <v>0.86764705882352944</v>
      </c>
      <c r="BB155" s="18">
        <v>36</v>
      </c>
      <c r="BC155" s="12">
        <v>2890.66</v>
      </c>
      <c r="BE155" s="8"/>
      <c r="BG155" s="72"/>
      <c r="BH155" s="16">
        <v>46198</v>
      </c>
      <c r="BI155" s="10">
        <f t="shared" si="37"/>
        <v>119556</v>
      </c>
      <c r="BJ155" s="10">
        <v>120719</v>
      </c>
      <c r="BK155" s="10"/>
      <c r="BL155" s="10"/>
      <c r="BM155" s="11"/>
      <c r="BN155" s="18"/>
      <c r="BO155" s="12">
        <v>645</v>
      </c>
      <c r="BQ155" s="8"/>
    </row>
    <row r="156" spans="1:69">
      <c r="A156" s="72"/>
      <c r="B156" s="16">
        <v>46052</v>
      </c>
      <c r="C156" s="10">
        <f t="shared" si="32"/>
        <v>51921</v>
      </c>
      <c r="D156" s="10">
        <v>52428</v>
      </c>
      <c r="E156" s="10">
        <f>Table26912142030405470829811261014182226[[#This Row],[KM Final]]-Table26912142030405470829811261014182226[[#This Row],[KM Inicial]]</f>
        <v>507</v>
      </c>
      <c r="F156" s="10">
        <v>208</v>
      </c>
      <c r="G156" s="11">
        <f>Table26912142030405470829811261014182226[[#This Row],[KM Rodado]]/Table26912142030405470829811261014182226[[#This Row],[Consumo Lt]]</f>
        <v>2.4375</v>
      </c>
      <c r="H156" s="18"/>
      <c r="I156" s="12">
        <v>1168.8800000000001</v>
      </c>
      <c r="K156" s="8"/>
      <c r="M156" s="38">
        <v>46080</v>
      </c>
      <c r="N156" s="39">
        <f t="shared" si="33"/>
        <v>65266</v>
      </c>
      <c r="O156" s="39">
        <v>65829</v>
      </c>
      <c r="P156" s="10">
        <f>Table269121420304054708298112481216202428[[#This Row],[KM Final]]-Table269121420304054708298112481216202428[[#This Row],[KM Inicial]]</f>
        <v>563</v>
      </c>
      <c r="Q156" s="39">
        <v>215</v>
      </c>
      <c r="R156" s="11">
        <f>Table269121420304054708298112481216202428[[#This Row],[KM Rodado]]/Table269121420304054708298112481216202428[[#This Row],[Consumo Lt]]</f>
        <v>2.6186046511627907</v>
      </c>
      <c r="S156" s="18">
        <v>43</v>
      </c>
      <c r="T156" s="7">
        <v>1156.93</v>
      </c>
      <c r="V156" s="8"/>
      <c r="X156" s="72"/>
      <c r="Y156" s="16">
        <v>46105</v>
      </c>
      <c r="Z156" s="10">
        <f t="shared" si="34"/>
        <v>78972</v>
      </c>
      <c r="AA156" s="10">
        <v>79686</v>
      </c>
      <c r="AB156" s="10">
        <f>Table2691214203040547082981126101418222655[[#This Row],[KM Final]]-Table2691214203040547082981126101418222655[[#This Row],[KM Inicial]]</f>
        <v>714</v>
      </c>
      <c r="AC156" s="10">
        <v>50</v>
      </c>
      <c r="AD156" s="11">
        <f>Table2691214203040547082981126101418222655[[#This Row],[KM Rodado]]/Table2691214203040547082981126101418222655[[#This Row],[Consumo Lt]]</f>
        <v>14.28</v>
      </c>
      <c r="AE156" s="18"/>
      <c r="AF156" s="12">
        <v>374.5</v>
      </c>
      <c r="AH156" s="8"/>
      <c r="AJ156" s="38"/>
      <c r="AK156" s="39"/>
      <c r="AL156" s="39"/>
      <c r="AM156" s="10"/>
      <c r="AN156" s="39"/>
      <c r="AO156" s="11"/>
      <c r="AP156" s="18"/>
      <c r="AQ156" s="12"/>
      <c r="AS156" s="8"/>
      <c r="AU156" s="75"/>
      <c r="AV156" s="38">
        <v>46169</v>
      </c>
      <c r="AW156" s="39">
        <f t="shared" si="36"/>
        <v>106412</v>
      </c>
      <c r="AX156" s="39">
        <v>107378</v>
      </c>
      <c r="AY156" s="10">
        <f>Table2691214203040547082981124812162024284678142[[#This Row],[KM Final]]-Table2691214203040547082981124812162024284678142[[#This Row],[KM Inicial]]</f>
        <v>966</v>
      </c>
      <c r="AZ156" s="39">
        <v>434</v>
      </c>
      <c r="BA156" s="11">
        <f>Table2691214203040547082981124812162024284678142[[#This Row],[KM Rodado]]/Table2691214203040547082981124812162024284678142[[#This Row],[Consumo Lt]]</f>
        <v>2.225806451612903</v>
      </c>
      <c r="BB156" s="18"/>
      <c r="BC156" s="12">
        <v>2946.86</v>
      </c>
      <c r="BE156" s="8"/>
      <c r="BG156" s="72"/>
      <c r="BH156" s="16">
        <v>46198</v>
      </c>
      <c r="BI156" s="10">
        <f t="shared" si="37"/>
        <v>120719</v>
      </c>
      <c r="BJ156" s="10">
        <v>120882</v>
      </c>
      <c r="BK156" s="10">
        <v>1628</v>
      </c>
      <c r="BL156" s="10">
        <v>593</v>
      </c>
      <c r="BM156" s="11">
        <f>Table2691214203040547082981126101418222682[[#This Row],[KM Rodado]]/Table2691214203040547082981126101418222682[[#This Row],[Consumo Lt]]</f>
        <v>2.7453625632377738</v>
      </c>
      <c r="BN156" s="18"/>
      <c r="BO156" s="12">
        <v>2264.4299999999998</v>
      </c>
      <c r="BQ156" s="8"/>
    </row>
    <row r="157" spans="1:69">
      <c r="A157" s="72"/>
      <c r="B157" s="23"/>
      <c r="C157" s="23"/>
      <c r="D157" s="23"/>
      <c r="E157" s="23">
        <f>SUM(E140:E156)</f>
        <v>12516</v>
      </c>
      <c r="F157" s="23">
        <f>SUM(F140:F156)</f>
        <v>4680.2299999999996</v>
      </c>
      <c r="G157" s="30">
        <f>Table26912142030405470829811261014182226[[#This Row],[KM Rodado]]/Table26912142030405470829811261014182226[[#This Row],[Consumo Lt]]</f>
        <v>2.674227548646114</v>
      </c>
      <c r="H157" s="23"/>
      <c r="I157" s="27">
        <f>SUM(I140:I156)</f>
        <v>27606.400000000005</v>
      </c>
      <c r="J157" s="21" t="s">
        <v>10</v>
      </c>
      <c r="K157" s="21">
        <f>SUM(K140:K156)</f>
        <v>1234</v>
      </c>
      <c r="M157" s="38">
        <v>46080</v>
      </c>
      <c r="N157" s="46">
        <f t="shared" si="33"/>
        <v>65829</v>
      </c>
      <c r="O157" s="46">
        <v>66496</v>
      </c>
      <c r="P157" s="10">
        <f>Table269121420304054708298112481216202428[[#This Row],[KM Final]]-Table269121420304054708298112481216202428[[#This Row],[KM Inicial]]</f>
        <v>667</v>
      </c>
      <c r="Q157" s="46">
        <v>241</v>
      </c>
      <c r="R157" s="11">
        <f>Table269121420304054708298112481216202428[[#This Row],[KM Rodado]]/Table269121420304054708298112481216202428[[#This Row],[Consumo Lt]]</f>
        <v>2.7676348547717842</v>
      </c>
      <c r="S157" s="40"/>
      <c r="T157" s="7">
        <v>1353.99</v>
      </c>
      <c r="U157" s="21" t="s">
        <v>10</v>
      </c>
      <c r="V157" s="21">
        <f>SUM(V140:V156)</f>
        <v>1204</v>
      </c>
      <c r="X157" s="72"/>
      <c r="Y157" s="50">
        <v>46105</v>
      </c>
      <c r="Z157" s="46">
        <f t="shared" si="34"/>
        <v>79686</v>
      </c>
      <c r="AA157" s="46">
        <v>79772</v>
      </c>
      <c r="AB157" s="46">
        <f>Table2691214203040547082981126101418222655[[#This Row],[KM Final]]-Table2691214203040547082981126101418222655[[#This Row],[KM Inicial]]</f>
        <v>86</v>
      </c>
      <c r="AC157" s="46">
        <v>375</v>
      </c>
      <c r="AD157" s="51">
        <f>Table2691214203040547082981126101418222655[[#This Row],[KM Rodado]]/Table2691214203040547082981126101418222655[[#This Row],[Consumo Lt]]</f>
        <v>0.22933333333333333</v>
      </c>
      <c r="AE157" s="46">
        <v>50</v>
      </c>
      <c r="AF157" s="52">
        <v>2847.13</v>
      </c>
      <c r="AG157" s="21" t="s">
        <v>75</v>
      </c>
      <c r="AH157" s="21">
        <f>SUM(AH140:AH156)</f>
        <v>804</v>
      </c>
      <c r="AJ157" s="38"/>
      <c r="AK157" s="46"/>
      <c r="AL157" s="46"/>
      <c r="AM157" s="19">
        <f>SUM(AM140:AM156)</f>
        <v>11431</v>
      </c>
      <c r="AN157" s="23">
        <f>SUM(AN140:AN156)</f>
        <v>4307</v>
      </c>
      <c r="AO157" s="28">
        <f>Table2691214203040547082981124812162024284678[[#This Row],[KM Rodado]]/Table2691214203040547082981124812162024284678[[#This Row],[Consumo Lt]]</f>
        <v>2.6540515439981425</v>
      </c>
      <c r="AP157" s="22">
        <f>SUM(AP140:AP156)</f>
        <v>231</v>
      </c>
      <c r="AQ157" s="20">
        <f>SUM(AQ140:AQ156)</f>
        <v>30062.58</v>
      </c>
      <c r="AR157" s="21" t="s">
        <v>10</v>
      </c>
      <c r="AS157" s="21">
        <f>SUM(AS140:AS156)</f>
        <v>804</v>
      </c>
      <c r="AU157" s="75"/>
      <c r="AV157" s="38">
        <v>46170</v>
      </c>
      <c r="AW157" s="46">
        <f t="shared" si="36"/>
        <v>107378</v>
      </c>
      <c r="AX157" s="46">
        <v>108044</v>
      </c>
      <c r="AY157" s="10">
        <f>Table2691214203040547082981124812162024284678142[[#This Row],[KM Final]]-Table2691214203040547082981124812162024284678142[[#This Row],[KM Inicial]]</f>
        <v>666</v>
      </c>
      <c r="AZ157" s="46">
        <v>258</v>
      </c>
      <c r="BA157" s="11">
        <f>Table2691214203040547082981124812162024284678142[[#This Row],[KM Rodado]]/Table2691214203040547082981124812162024284678142[[#This Row],[Consumo Lt]]</f>
        <v>2.5813953488372094</v>
      </c>
      <c r="BB157" s="46"/>
      <c r="BC157" s="12">
        <v>1751.81</v>
      </c>
      <c r="BD157" s="21" t="s">
        <v>10</v>
      </c>
      <c r="BE157" s="21">
        <f>SUM(BE140:BE156)</f>
        <v>2353</v>
      </c>
      <c r="BG157" s="72"/>
      <c r="BH157" s="50">
        <v>46200</v>
      </c>
      <c r="BI157" s="46">
        <f t="shared" si="37"/>
        <v>120882</v>
      </c>
      <c r="BJ157" s="46">
        <v>121279</v>
      </c>
      <c r="BK157" s="46">
        <f>Table2691214203040547082981126101418222682[[#This Row],[KM Final]]-Table2691214203040547082981126101418222682[[#This Row],[KM Inicial]]</f>
        <v>397</v>
      </c>
      <c r="BL157" s="46">
        <v>146</v>
      </c>
      <c r="BM157" s="51">
        <f>Table2691214203040547082981126101418222682[[#This Row],[KM Rodado]]/Table2691214203040547082981126101418222682[[#This Row],[Consumo Lt]]</f>
        <v>2.7191780821917808</v>
      </c>
      <c r="BN157" s="46">
        <v>29</v>
      </c>
      <c r="BO157" s="52">
        <v>1000.87</v>
      </c>
      <c r="BP157" s="21" t="s">
        <v>10</v>
      </c>
      <c r="BQ157" s="21">
        <f>SUM(BQ140:BQ156)</f>
        <v>804</v>
      </c>
    </row>
    <row r="158" spans="1:69" ht="15.75" thickBot="1">
      <c r="M158" s="5"/>
      <c r="N158" s="44">
        <f t="shared" si="33"/>
        <v>66496</v>
      </c>
      <c r="O158" s="5"/>
      <c r="P158" s="5">
        <f>SUM(P140:P157)</f>
        <v>14068</v>
      </c>
      <c r="Q158" s="5">
        <f>SUM(Q140:Q157)</f>
        <v>5260</v>
      </c>
      <c r="R158" s="33">
        <f>Table269121420304054708298112481216202428[[#Totals],[KM Rodado]]/Table269121420304054708298112481216202428[[#Totals],[Consumo Lt]]</f>
        <v>2.6745247148288973</v>
      </c>
      <c r="S158" s="11">
        <f>SUM(S140:S157)</f>
        <v>274</v>
      </c>
      <c r="T158" s="13">
        <f>SUM(T140:T157)</f>
        <v>28725.910000000003</v>
      </c>
      <c r="Y158" s="38">
        <v>46106</v>
      </c>
      <c r="Z158" s="47">
        <f t="shared" si="34"/>
        <v>79772</v>
      </c>
      <c r="AA158" s="39">
        <v>80483</v>
      </c>
      <c r="AB158" s="39">
        <f>Table2691214203040547082981126101418222655[[#This Row],[KM Final]]-Table2691214203040547082981126101418222655[[#This Row],[KM Inicial]]</f>
        <v>711</v>
      </c>
      <c r="AC158" s="39">
        <v>237</v>
      </c>
      <c r="AD158" s="53">
        <f>Table2691214203040547082981126101418222655[[#This Row],[KM Rodado]]/Table2691214203040547082981126101418222655[[#This Row],[Consumo Lt]]</f>
        <v>3</v>
      </c>
      <c r="AE158" s="18"/>
      <c r="AF158" s="40">
        <v>1613.58</v>
      </c>
      <c r="AJ158" s="5"/>
      <c r="AK158" s="59"/>
      <c r="AL158" s="5"/>
      <c r="AM158" s="5"/>
      <c r="AN158" s="5"/>
      <c r="AO158" s="33"/>
      <c r="AP158" s="60"/>
      <c r="AQ158" s="61"/>
      <c r="AV158" s="38">
        <v>46171</v>
      </c>
      <c r="AW158" s="47">
        <f>AX157</f>
        <v>108044</v>
      </c>
      <c r="AX158" s="39">
        <v>108610</v>
      </c>
      <c r="AY158" s="47">
        <f>Table2691214203040547082981124812162024284678142[[#This Row],[KM Final]]-Table2691214203040547082981124812162024284678142[[#This Row],[KM Inicial]]</f>
        <v>566</v>
      </c>
      <c r="AZ158" s="39">
        <v>186</v>
      </c>
      <c r="BA158" s="53">
        <f>Table2691214203040547082981124812162024284678142[[#This Row],[KM Rodado]]/Table2691214203040547082981124812162024284678142[[#This Row],[Consumo Lt]]</f>
        <v>3.043010752688172</v>
      </c>
      <c r="BB158" s="18"/>
      <c r="BC158" s="13">
        <v>1329.67</v>
      </c>
      <c r="BH158" s="38">
        <v>46202</v>
      </c>
      <c r="BI158" s="47">
        <f t="shared" si="37"/>
        <v>121279</v>
      </c>
      <c r="BJ158" s="39">
        <v>122269</v>
      </c>
      <c r="BK158" s="39">
        <f>Table2691214203040547082981126101418222682[[#This Row],[KM Final]]-Table2691214203040547082981126101418222682[[#This Row],[KM Inicial]]</f>
        <v>990</v>
      </c>
      <c r="BL158" s="39">
        <v>407</v>
      </c>
      <c r="BM158" s="53">
        <f>Table2691214203040547082981126101418222682[[#This Row],[KM Rodado]]/Table2691214203040547082981126101418222682[[#This Row],[Consumo Lt]]</f>
        <v>2.4324324324324325</v>
      </c>
      <c r="BN158" s="18"/>
      <c r="BO158" s="40">
        <v>2627.08</v>
      </c>
    </row>
    <row r="159" spans="1:69" ht="15.75" thickTop="1">
      <c r="M159" s="5"/>
      <c r="N159" s="44"/>
      <c r="O159" s="5"/>
      <c r="P159" s="5"/>
      <c r="Q159" s="5"/>
      <c r="R159" s="33"/>
      <c r="S159" s="11"/>
      <c r="T159" s="13"/>
      <c r="Y159" s="38">
        <v>46108</v>
      </c>
      <c r="Z159" s="47">
        <f t="shared" si="34"/>
        <v>80483</v>
      </c>
      <c r="AA159" s="39">
        <v>81505</v>
      </c>
      <c r="AB159" s="39">
        <f>Table2691214203040547082981126101418222655[[#This Row],[KM Final]]-Table2691214203040547082981126101418222655[[#This Row],[KM Inicial]]</f>
        <v>1022</v>
      </c>
      <c r="AC159" s="39">
        <v>316</v>
      </c>
      <c r="AD159" s="53">
        <f>Table2691214203040547082981126101418222655[[#This Row],[KM Rodado]]/Table2691214203040547082981126101418222655[[#This Row],[Consumo Lt]]</f>
        <v>3.2341772151898733</v>
      </c>
      <c r="AE159" s="18">
        <v>32</v>
      </c>
      <c r="AF159" s="40">
        <v>2268.38</v>
      </c>
      <c r="AJ159" s="5"/>
      <c r="AK159" s="44"/>
      <c r="AL159" s="5"/>
      <c r="AM159" s="5"/>
      <c r="AN159" s="5"/>
      <c r="AO159" s="33"/>
      <c r="AP159" s="11"/>
      <c r="AQ159" s="13"/>
      <c r="AV159" s="62">
        <v>46173</v>
      </c>
      <c r="AW159" s="63">
        <f>AX157</f>
        <v>108044</v>
      </c>
      <c r="AX159" s="76">
        <v>109542</v>
      </c>
      <c r="AY159" s="66">
        <f>Table2691214203040547082981124812162024284678142[[#This Row],[KM Final]]-Table2691214203040547082981124812162024284678142[[#This Row],[KM Inicial]]</f>
        <v>1498</v>
      </c>
      <c r="AZ159" s="64">
        <v>395</v>
      </c>
      <c r="BA159" s="65">
        <f>Table2691214203040547082981124812162024284678142[[#This Row],[KM Rodado]]/Table2691214203040547082981124812162024284678142[[#This Row],[Consumo Lt]]</f>
        <v>3.792405063291139</v>
      </c>
      <c r="BB159" s="68">
        <v>49</v>
      </c>
      <c r="BC159" s="67">
        <v>2524.75</v>
      </c>
      <c r="BH159" s="38">
        <v>46203</v>
      </c>
      <c r="BI159" s="47">
        <f t="shared" si="37"/>
        <v>122269</v>
      </c>
      <c r="BJ159" s="39">
        <v>123174</v>
      </c>
      <c r="BK159" s="39">
        <f>Table2691214203040547082981126101418222682[[#This Row],[KM Final]]-Table2691214203040547082981126101418222682[[#This Row],[KM Inicial]]</f>
        <v>905</v>
      </c>
      <c r="BL159" s="39">
        <v>300</v>
      </c>
      <c r="BM159" s="53">
        <f>Table2691214203040547082981126101418222682[[#This Row],[KM Rodado]]/Table2691214203040547082981126101418222682[[#This Row],[Consumo Lt]]</f>
        <v>3.0166666666666666</v>
      </c>
      <c r="BN159" s="18"/>
      <c r="BO159" s="40">
        <v>1854</v>
      </c>
    </row>
    <row r="160" spans="1:69">
      <c r="M160" s="5"/>
      <c r="N160" s="44"/>
      <c r="O160" s="5"/>
      <c r="P160" s="5"/>
      <c r="Q160" s="5"/>
      <c r="R160" s="33"/>
      <c r="S160" s="11"/>
      <c r="T160" s="13"/>
      <c r="Y160" s="38">
        <v>46110</v>
      </c>
      <c r="Z160" s="47">
        <f t="shared" si="34"/>
        <v>81505</v>
      </c>
      <c r="AA160" s="39">
        <v>82443</v>
      </c>
      <c r="AB160" s="39">
        <f>Table2691214203040547082981126101418222655[[#This Row],[KM Final]]-Table2691214203040547082981126101418222655[[#This Row],[KM Inicial]]</f>
        <v>938</v>
      </c>
      <c r="AC160" s="39">
        <v>320</v>
      </c>
      <c r="AD160" s="53">
        <f>Table2691214203040547082981126101418222655[[#This Row],[KM Rodado]]/Table2691214203040547082981126101418222655[[#This Row],[Consumo Lt]]</f>
        <v>2.9312499999999999</v>
      </c>
      <c r="AE160" s="18">
        <v>21</v>
      </c>
      <c r="AF160" s="40">
        <v>2370.9899999999998</v>
      </c>
      <c r="AJ160" s="5"/>
      <c r="AK160" s="44"/>
      <c r="AL160" s="5"/>
      <c r="AM160" s="5"/>
      <c r="AN160" s="5"/>
      <c r="AO160" s="33"/>
      <c r="AP160" s="11"/>
      <c r="AQ160" s="13"/>
      <c r="AV160" s="38"/>
      <c r="AW160" s="44">
        <f>AX159</f>
        <v>109542</v>
      </c>
      <c r="AX160" s="39"/>
      <c r="AY160" s="66"/>
      <c r="AZ160" s="39"/>
      <c r="BA160" s="53"/>
      <c r="BB160" s="11"/>
      <c r="BC160" s="22"/>
      <c r="BH160" s="5"/>
      <c r="BI160" s="44">
        <f t="shared" si="37"/>
        <v>123174</v>
      </c>
      <c r="BJ160" s="15"/>
      <c r="BK160" s="15"/>
      <c r="BL160" s="15"/>
      <c r="BM160" s="54"/>
      <c r="BN160" s="55"/>
      <c r="BO160" s="22"/>
    </row>
    <row r="161" spans="1:69">
      <c r="M161" s="5"/>
      <c r="N161" s="44"/>
      <c r="O161" s="5"/>
      <c r="P161" s="5"/>
      <c r="Q161" s="5"/>
      <c r="R161" s="33"/>
      <c r="S161" s="11"/>
      <c r="T161" s="13"/>
      <c r="Y161" s="38">
        <v>46111</v>
      </c>
      <c r="Z161" s="47">
        <f t="shared" si="34"/>
        <v>82443</v>
      </c>
      <c r="AA161" s="39">
        <v>83373</v>
      </c>
      <c r="AB161" s="39">
        <f>Table2691214203040547082981126101418222655[[#This Row],[KM Final]]-Table2691214203040547082981126101418222655[[#This Row],[KM Inicial]]</f>
        <v>930</v>
      </c>
      <c r="AC161" s="39">
        <v>200</v>
      </c>
      <c r="AD161" s="53">
        <f>Table2691214203040547082981126101418222655[[#This Row],[KM Rodado]]/Table2691214203040547082981126101418222655[[#This Row],[Consumo Lt]]</f>
        <v>4.6500000000000004</v>
      </c>
      <c r="AE161" s="18"/>
      <c r="AF161" s="40">
        <v>1478</v>
      </c>
      <c r="AJ161" s="5"/>
      <c r="AK161" s="44"/>
      <c r="AL161" s="5"/>
      <c r="AM161" s="5"/>
      <c r="AN161" s="5"/>
      <c r="AO161" s="33"/>
      <c r="AP161" s="11"/>
      <c r="AQ161" s="13"/>
      <c r="AV161" s="39"/>
      <c r="AW161" s="47"/>
      <c r="AX161" s="39"/>
      <c r="AY161" s="44">
        <f>AW160-AW140</f>
        <v>14738</v>
      </c>
      <c r="AZ161" s="15">
        <f>SUM(AZ140:AZ160)</f>
        <v>5433</v>
      </c>
      <c r="BA161" s="54">
        <f>Table2691214203040547082981124812162024284678142[[#This Row],[KM Rodado]]/Table2691214203040547082981124812162024284678142[[#This Row],[Consumo Lt]]</f>
        <v>2.7126817596171544</v>
      </c>
      <c r="BB161" s="55">
        <f>SUM(BB140:BB160)</f>
        <v>328</v>
      </c>
      <c r="BC161" s="22">
        <f>SUM(BC140:BC160)</f>
        <v>36672.97</v>
      </c>
      <c r="BH161" s="5"/>
      <c r="BI161" s="44"/>
      <c r="BJ161" s="5"/>
      <c r="BK161" s="44">
        <f>BI160-BI140</f>
        <v>13632</v>
      </c>
      <c r="BL161" s="15">
        <f>SUM(BL140:BL160)</f>
        <v>4897</v>
      </c>
      <c r="BM161" s="54">
        <f>Table2691214203040547082981126101418222682[[#This Row],[KM Rodado]]/Table2691214203040547082981126101418222682[[#This Row],[Consumo Lt]]</f>
        <v>2.7837451500918928</v>
      </c>
      <c r="BN161" s="55">
        <f>SUM(BN140:BN160)</f>
        <v>265</v>
      </c>
      <c r="BO161" s="22">
        <f>SUM(BO140:BO160)</f>
        <v>32188.5</v>
      </c>
    </row>
    <row r="162" spans="1:69">
      <c r="M162" s="5"/>
      <c r="N162" s="44"/>
      <c r="O162" s="5"/>
      <c r="P162" s="5"/>
      <c r="Q162" s="5"/>
      <c r="R162" s="33"/>
      <c r="S162" s="11"/>
      <c r="T162" s="13"/>
      <c r="Y162" s="38"/>
      <c r="Z162" s="44">
        <f t="shared" ref="Z162" si="38">AA161</f>
        <v>83373</v>
      </c>
      <c r="AA162" s="39"/>
      <c r="AB162" s="39"/>
      <c r="AC162" s="39"/>
      <c r="AD162" s="53" t="e">
        <f>Table2691214203040547082981126101418222655[[#This Row],[KM Rodado]]/Table2691214203040547082981126101418222655[[#This Row],[Consumo Lt]]</f>
        <v>#DIV/0!</v>
      </c>
      <c r="AE162" s="18"/>
      <c r="AF162" s="13"/>
      <c r="AJ162" s="5"/>
      <c r="AK162" s="44"/>
      <c r="AL162" s="5"/>
      <c r="AM162" s="5"/>
      <c r="AN162" s="5"/>
      <c r="AO162" s="33"/>
      <c r="AP162" s="11"/>
      <c r="AQ162" s="13"/>
      <c r="AV162" s="5"/>
      <c r="AW162" s="44"/>
      <c r="AX162" s="5"/>
      <c r="AY162" s="5"/>
      <c r="AZ162" s="5"/>
      <c r="BA162" s="33"/>
      <c r="BB162" s="11"/>
      <c r="BC162" s="22"/>
    </row>
    <row r="163" spans="1:69">
      <c r="M163" s="5"/>
      <c r="N163" s="44"/>
      <c r="O163" s="5"/>
      <c r="P163" s="5"/>
      <c r="Q163" s="5"/>
      <c r="R163" s="33"/>
      <c r="S163" s="11"/>
      <c r="T163" s="13"/>
      <c r="Y163" s="9"/>
      <c r="Z163" s="32"/>
      <c r="AA163" s="5"/>
      <c r="AB163" s="5"/>
      <c r="AC163" s="5"/>
      <c r="AD163" s="33"/>
      <c r="AE163" s="49"/>
      <c r="AF163" s="35"/>
      <c r="AJ163" s="5"/>
      <c r="AK163" s="44"/>
      <c r="AL163" s="5"/>
      <c r="AM163" s="5"/>
      <c r="AN163" s="5"/>
      <c r="AO163" s="33"/>
      <c r="AP163" s="11"/>
      <c r="AQ163" s="13"/>
      <c r="AV163" s="5"/>
      <c r="AW163" s="44"/>
      <c r="AX163" s="5"/>
      <c r="AY163" s="5"/>
      <c r="AZ163" s="5"/>
      <c r="BA163" s="33"/>
      <c r="BB163" s="11"/>
      <c r="BC163" s="13"/>
    </row>
    <row r="164" spans="1:69">
      <c r="Y164" s="48"/>
    </row>
    <row r="165" spans="1:69" ht="33.75" customHeight="1">
      <c r="B165" s="71">
        <v>46023</v>
      </c>
      <c r="C165" s="71"/>
      <c r="D165" s="71"/>
      <c r="E165" s="71"/>
      <c r="F165" s="71"/>
      <c r="G165" s="71"/>
      <c r="H165" s="71"/>
      <c r="I165" s="71"/>
      <c r="J165" s="71"/>
      <c r="L165" s="73">
        <v>46054</v>
      </c>
      <c r="M165" s="73"/>
      <c r="N165" s="73"/>
      <c r="O165" s="73"/>
      <c r="P165" s="73"/>
      <c r="Q165" s="73"/>
      <c r="R165" s="73"/>
      <c r="S165" s="73"/>
      <c r="T165" s="73"/>
      <c r="W165" s="71">
        <v>46082</v>
      </c>
      <c r="X165" s="71"/>
      <c r="Y165" s="71"/>
      <c r="Z165" s="71"/>
      <c r="AA165" s="71"/>
      <c r="AB165" s="71"/>
      <c r="AC165" s="71"/>
      <c r="AD165" s="71"/>
      <c r="AE165" s="71"/>
      <c r="AF165" s="71"/>
      <c r="AI165" s="73">
        <v>46113</v>
      </c>
      <c r="AJ165" s="73"/>
      <c r="AK165" s="73"/>
      <c r="AL165" s="73"/>
      <c r="AM165" s="73"/>
      <c r="AN165" s="73"/>
      <c r="AO165" s="73"/>
      <c r="AP165" s="73"/>
      <c r="AQ165" s="73"/>
      <c r="AU165" s="73">
        <v>46143</v>
      </c>
      <c r="AV165" s="73"/>
      <c r="AW165" s="73"/>
      <c r="AX165" s="73"/>
      <c r="AY165" s="73"/>
      <c r="AZ165" s="73"/>
      <c r="BA165" s="73"/>
      <c r="BB165" s="73"/>
      <c r="BC165" s="73"/>
      <c r="BH165" s="71">
        <v>46174</v>
      </c>
      <c r="BI165" s="71"/>
      <c r="BJ165" s="71"/>
      <c r="BK165" s="71"/>
      <c r="BL165" s="71"/>
      <c r="BM165" s="71"/>
      <c r="BN165" s="71"/>
      <c r="BO165" s="71"/>
      <c r="BP165" s="71"/>
    </row>
    <row r="166" spans="1:69">
      <c r="A166" s="1" t="s">
        <v>11</v>
      </c>
      <c r="B166" s="1" t="s">
        <v>0</v>
      </c>
      <c r="C166" s="1" t="s">
        <v>1</v>
      </c>
      <c r="D166" s="1" t="s">
        <v>2</v>
      </c>
      <c r="E166" s="1" t="s">
        <v>3</v>
      </c>
      <c r="F166" s="1" t="s">
        <v>4</v>
      </c>
      <c r="G166" s="1" t="s">
        <v>5</v>
      </c>
      <c r="H166" s="17" t="s">
        <v>21</v>
      </c>
      <c r="I166" s="2" t="s">
        <v>6</v>
      </c>
      <c r="J166" s="3" t="s">
        <v>7</v>
      </c>
      <c r="K166" s="4" t="s">
        <v>6</v>
      </c>
      <c r="M166" s="1" t="s">
        <v>0</v>
      </c>
      <c r="N166" s="1" t="s">
        <v>1</v>
      </c>
      <c r="O166" s="1" t="s">
        <v>2</v>
      </c>
      <c r="P166" s="1" t="s">
        <v>3</v>
      </c>
      <c r="Q166" s="1" t="s">
        <v>4</v>
      </c>
      <c r="R166" s="1" t="s">
        <v>5</v>
      </c>
      <c r="S166" s="17" t="s">
        <v>21</v>
      </c>
      <c r="T166" s="2" t="s">
        <v>6</v>
      </c>
      <c r="U166" s="3" t="s">
        <v>7</v>
      </c>
      <c r="V166" s="4" t="s">
        <v>6</v>
      </c>
      <c r="X166" s="1" t="s">
        <v>11</v>
      </c>
      <c r="Y166" s="1" t="s">
        <v>0</v>
      </c>
      <c r="Z166" s="1" t="s">
        <v>1</v>
      </c>
      <c r="AA166" s="1" t="s">
        <v>2</v>
      </c>
      <c r="AB166" s="1" t="s">
        <v>3</v>
      </c>
      <c r="AC166" s="1" t="s">
        <v>4</v>
      </c>
      <c r="AD166" s="1" t="s">
        <v>5</v>
      </c>
      <c r="AE166" s="17" t="s">
        <v>21</v>
      </c>
      <c r="AF166" s="2" t="s">
        <v>6</v>
      </c>
      <c r="AG166" s="3" t="s">
        <v>7</v>
      </c>
      <c r="AH166" s="4" t="s">
        <v>6</v>
      </c>
      <c r="AJ166" s="1" t="s">
        <v>0</v>
      </c>
      <c r="AK166" s="1" t="s">
        <v>1</v>
      </c>
      <c r="AL166" s="1" t="s">
        <v>2</v>
      </c>
      <c r="AM166" s="1" t="s">
        <v>3</v>
      </c>
      <c r="AN166" s="1" t="s">
        <v>4</v>
      </c>
      <c r="AO166" s="1" t="s">
        <v>5</v>
      </c>
      <c r="AP166" s="17" t="s">
        <v>21</v>
      </c>
      <c r="AQ166" s="2" t="s">
        <v>6</v>
      </c>
      <c r="AR166" s="3" t="s">
        <v>7</v>
      </c>
      <c r="AS166" s="4" t="s">
        <v>6</v>
      </c>
      <c r="AU166" s="1" t="s">
        <v>11</v>
      </c>
      <c r="AV166" s="1" t="s">
        <v>0</v>
      </c>
      <c r="AW166" s="1" t="s">
        <v>1</v>
      </c>
      <c r="AX166" s="1" t="s">
        <v>2</v>
      </c>
      <c r="AY166" s="1" t="s">
        <v>3</v>
      </c>
      <c r="AZ166" s="1" t="s">
        <v>4</v>
      </c>
      <c r="BA166" s="1" t="s">
        <v>5</v>
      </c>
      <c r="BB166" s="17" t="s">
        <v>21</v>
      </c>
      <c r="BC166" s="2" t="s">
        <v>6</v>
      </c>
      <c r="BD166" s="3" t="s">
        <v>7</v>
      </c>
      <c r="BE166" s="4" t="s">
        <v>6</v>
      </c>
      <c r="BG166" s="1" t="s">
        <v>11</v>
      </c>
      <c r="BH166" s="1" t="s">
        <v>0</v>
      </c>
      <c r="BI166" s="1" t="s">
        <v>1</v>
      </c>
      <c r="BJ166" s="1" t="s">
        <v>2</v>
      </c>
      <c r="BK166" s="1" t="s">
        <v>3</v>
      </c>
      <c r="BL166" s="1" t="s">
        <v>4</v>
      </c>
      <c r="BM166" s="1" t="s">
        <v>5</v>
      </c>
      <c r="BN166" s="17" t="s">
        <v>21</v>
      </c>
      <c r="BO166" s="2" t="s">
        <v>6</v>
      </c>
      <c r="BP166" s="3" t="s">
        <v>7</v>
      </c>
      <c r="BQ166" s="4" t="s">
        <v>6</v>
      </c>
    </row>
    <row r="167" spans="1:69" ht="15" customHeight="1">
      <c r="A167" s="72" t="s">
        <v>19</v>
      </c>
      <c r="B167" s="16">
        <v>46024</v>
      </c>
      <c r="C167" s="10">
        <v>418669</v>
      </c>
      <c r="D167" s="10">
        <v>419797</v>
      </c>
      <c r="E167" s="10">
        <f>Table2691214203040547082981126101418222630[[#This Row],[KM Final]]-Table2691214203040547082981126101418222630[[#This Row],[KM Inicial]]</f>
        <v>1128</v>
      </c>
      <c r="F167" s="10">
        <v>320</v>
      </c>
      <c r="G167" s="11">
        <f>Table2691214203040547082981126101418222630[[#This Row],[KM Rodado]]/Table2691214203040547082981126101418222630[[#This Row],[Consumo Lt]]</f>
        <v>3.5249999999999999</v>
      </c>
      <c r="H167" s="18">
        <v>20</v>
      </c>
      <c r="I167" s="12">
        <v>1848.12</v>
      </c>
      <c r="J167" t="s">
        <v>8</v>
      </c>
      <c r="K167" s="8">
        <v>504</v>
      </c>
      <c r="M167" s="16">
        <v>46056</v>
      </c>
      <c r="N167" s="10">
        <v>432019</v>
      </c>
      <c r="O167" s="10">
        <v>433116</v>
      </c>
      <c r="P167" s="10">
        <f>Table26912142030405470829811248121620242832[[#This Row],[KM Final]]-Table26912142030405470829811248121620242832[[#This Row],[KM Inicial]]</f>
        <v>1097</v>
      </c>
      <c r="Q167" s="10">
        <v>369</v>
      </c>
      <c r="R167" s="11">
        <f>Table26912142030405470829811248121620242832[[#This Row],[KM Rodado]]/Table26912142030405470829811248121620242832[[#This Row],[Consumo Lt]]</f>
        <v>2.97289972899729</v>
      </c>
      <c r="S167" s="11">
        <v>31</v>
      </c>
      <c r="T167" s="41">
        <v>2160.63</v>
      </c>
      <c r="U167" t="s">
        <v>8</v>
      </c>
      <c r="V167" s="8">
        <v>504</v>
      </c>
      <c r="X167" s="72" t="s">
        <v>19</v>
      </c>
      <c r="Y167" s="16">
        <v>46083</v>
      </c>
      <c r="Z167" s="5">
        <v>445939</v>
      </c>
      <c r="AA167" s="10">
        <v>447879</v>
      </c>
      <c r="AB167" s="10">
        <f>Table2691214203040547082981124812162024283248[[#This Row],[KM Final]]-Table2691214203040547082981124812162024283248[[#This Row],[KM Inicial]]</f>
        <v>1940</v>
      </c>
      <c r="AC167" s="10">
        <v>631</v>
      </c>
      <c r="AD167" s="11">
        <f>Table2691214203040547082981124812162024283248[[#This Row],[KM Rodado]]/Table2691214203040547082981124812162024283248[[#This Row],[Consumo Lt]]</f>
        <v>3.0744849445324882</v>
      </c>
      <c r="AE167" s="11"/>
      <c r="AF167" s="41">
        <v>3532.44</v>
      </c>
      <c r="AG167" t="s">
        <v>8</v>
      </c>
      <c r="AH167" s="8">
        <v>504</v>
      </c>
      <c r="AJ167" s="16">
        <v>46115</v>
      </c>
      <c r="AK167" s="5">
        <v>461962</v>
      </c>
      <c r="AL167" s="10">
        <v>464722</v>
      </c>
      <c r="AM167" s="10">
        <f>Table269121420304054708298112481216202428324880[[#This Row],[KM Final]]-Table269121420304054708298112481216202428324880[[#This Row],[KM Inicial]]</f>
        <v>2760</v>
      </c>
      <c r="AN167" s="10">
        <v>865</v>
      </c>
      <c r="AO167" s="11">
        <f>Table269121420304054708298112481216202428324880[[#This Row],[KM Rodado]]/Table269121420304054708298112481216202428324880[[#This Row],[Consumo Lt]]</f>
        <v>3.1907514450867054</v>
      </c>
      <c r="AP167" s="11">
        <v>20</v>
      </c>
      <c r="AQ167" s="41">
        <v>6453.95</v>
      </c>
      <c r="AR167" t="s">
        <v>8</v>
      </c>
      <c r="AS167" s="8">
        <v>504</v>
      </c>
      <c r="AU167" s="72" t="s">
        <v>19</v>
      </c>
      <c r="AV167" s="16">
        <v>46145</v>
      </c>
      <c r="AW167" s="5">
        <v>477203</v>
      </c>
      <c r="AX167" s="10">
        <v>478883</v>
      </c>
      <c r="AY167" s="10">
        <f>Table269121420304054708298112481216202428324880144[[#This Row],[KM Final]]-Table269121420304054708298112481216202428324880144[[#This Row],[KM Inicial]]</f>
        <v>1680</v>
      </c>
      <c r="AZ167" s="10">
        <v>497</v>
      </c>
      <c r="BA167" s="11">
        <f>Table269121420304054708298112481216202428324880144[[#This Row],[KM Rodado]]/Table269121420304054708298112481216202428324880144[[#This Row],[Consumo Lt]]</f>
        <v>3.380281690140845</v>
      </c>
      <c r="BB167" s="11"/>
      <c r="BC167" s="41">
        <v>3241.67</v>
      </c>
      <c r="BD167" t="s">
        <v>8</v>
      </c>
      <c r="BE167" s="8">
        <v>504</v>
      </c>
      <c r="BG167" s="72" t="s">
        <v>19</v>
      </c>
      <c r="BH167" s="16">
        <v>46176</v>
      </c>
      <c r="BI167" s="10">
        <v>492674</v>
      </c>
      <c r="BJ167" s="10">
        <v>495471</v>
      </c>
      <c r="BK167" s="10">
        <v>3039</v>
      </c>
      <c r="BL167" s="10">
        <v>699</v>
      </c>
      <c r="BM167" s="11">
        <f>Table269121420304054708298112610141822263084[[#This Row],[KM Rodado]]/Table269121420304054708298112610141822263084[[#This Row],[Consumo Lt]]</f>
        <v>4.3476394849785409</v>
      </c>
      <c r="BN167" s="18"/>
      <c r="BO167" s="12">
        <v>468.3</v>
      </c>
      <c r="BP167" t="s">
        <v>8</v>
      </c>
      <c r="BQ167" s="8">
        <v>504</v>
      </c>
    </row>
    <row r="168" spans="1:69">
      <c r="A168" s="72"/>
      <c r="B168" s="16">
        <v>46029</v>
      </c>
      <c r="C168" s="10">
        <f>D167</f>
        <v>419797</v>
      </c>
      <c r="D168" s="10">
        <v>421747</v>
      </c>
      <c r="E168" s="10">
        <f>Table2691214203040547082981126101418222630[[#This Row],[KM Final]]-Table2691214203040547082981126101418222630[[#This Row],[KM Inicial]]</f>
        <v>1950</v>
      </c>
      <c r="F168" s="10">
        <v>610</v>
      </c>
      <c r="G168" s="11">
        <f>Table2691214203040547082981126101418222630[[#This Row],[KM Rodado]]/Table2691214203040547082981126101418222630[[#This Row],[Consumo Lt]]</f>
        <v>3.1967213114754101</v>
      </c>
      <c r="H168" s="18">
        <v>30</v>
      </c>
      <c r="I168" s="12">
        <v>3368.91</v>
      </c>
      <c r="J168" t="s">
        <v>20</v>
      </c>
      <c r="K168" s="8">
        <v>300</v>
      </c>
      <c r="M168" s="16">
        <v>46061</v>
      </c>
      <c r="N168" s="10">
        <f t="shared" ref="N168:N172" si="39">O167</f>
        <v>433116</v>
      </c>
      <c r="O168" s="10">
        <v>435719</v>
      </c>
      <c r="P168" s="10">
        <f>Table26912142030405470829811248121620242832[[#This Row],[KM Final]]-Table26912142030405470829811248121620242832[[#This Row],[KM Inicial]]</f>
        <v>2603</v>
      </c>
      <c r="Q168" s="10">
        <v>760</v>
      </c>
      <c r="R168" s="11">
        <f>Table26912142030405470829811248121620242832[[#This Row],[KM Rodado]]/Table26912142030405470829811248121620242832[[#This Row],[Consumo Lt]]</f>
        <v>3.4249999999999998</v>
      </c>
      <c r="S168" s="11">
        <v>47</v>
      </c>
      <c r="T168" s="42">
        <v>4089.01</v>
      </c>
      <c r="U168" t="s">
        <v>20</v>
      </c>
      <c r="V168" s="8">
        <v>300</v>
      </c>
      <c r="X168" s="72"/>
      <c r="Y168" s="16">
        <v>46085</v>
      </c>
      <c r="Z168" s="10">
        <f t="shared" ref="Z168:Z178" si="40">AA167</f>
        <v>447879</v>
      </c>
      <c r="AA168" s="10">
        <v>448842</v>
      </c>
      <c r="AB168" s="10">
        <f>Table2691214203040547082981124812162024283248[[#This Row],[KM Final]]-Table2691214203040547082981124812162024283248[[#This Row],[KM Inicial]]</f>
        <v>963</v>
      </c>
      <c r="AC168" s="10">
        <v>310</v>
      </c>
      <c r="AD168" s="11">
        <f>Table2691214203040547082981124812162024283248[[#This Row],[KM Rodado]]/Table2691214203040547082981124812162024283248[[#This Row],[Consumo Lt]]</f>
        <v>3.1064516129032258</v>
      </c>
      <c r="AE168" s="11">
        <v>31</v>
      </c>
      <c r="AF168" s="42">
        <v>1848.09</v>
      </c>
      <c r="AG168" t="s">
        <v>20</v>
      </c>
      <c r="AH168" s="8">
        <v>300</v>
      </c>
      <c r="AJ168" s="16">
        <v>46119</v>
      </c>
      <c r="AK168" s="10">
        <f t="shared" ref="AK168:AK174" si="41">AL167</f>
        <v>464722</v>
      </c>
      <c r="AL168" s="10">
        <v>466660</v>
      </c>
      <c r="AM168" s="10">
        <f>Table269121420304054708298112481216202428324880[[#This Row],[KM Final]]-Table269121420304054708298112481216202428324880[[#This Row],[KM Inicial]]</f>
        <v>1938</v>
      </c>
      <c r="AN168" s="10">
        <v>596</v>
      </c>
      <c r="AO168" s="11">
        <f>Table269121420304054708298112481216202428324880[[#This Row],[KM Rodado]]/Table269121420304054708298112481216202428324880[[#This Row],[Consumo Lt]]</f>
        <v>3.2516778523489931</v>
      </c>
      <c r="AP168" s="11"/>
      <c r="AQ168" s="42">
        <v>4064.77</v>
      </c>
      <c r="AR168" t="s">
        <v>20</v>
      </c>
      <c r="AS168" s="8">
        <v>300</v>
      </c>
      <c r="AU168" s="72"/>
      <c r="AV168" s="16">
        <v>46149</v>
      </c>
      <c r="AW168" s="10">
        <f t="shared" ref="AW168:AW177" si="42">AX167</f>
        <v>478883</v>
      </c>
      <c r="AX168" s="10">
        <v>481077</v>
      </c>
      <c r="AY168" s="10">
        <f>Table269121420304054708298112481216202428324880144[[#This Row],[KM Final]]-Table269121420304054708298112481216202428324880144[[#This Row],[KM Inicial]]</f>
        <v>2194</v>
      </c>
      <c r="AZ168" s="10">
        <v>740</v>
      </c>
      <c r="BA168" s="11">
        <f>Table269121420304054708298112481216202428324880144[[#This Row],[KM Rodado]]/Table269121420304054708298112481216202428324880144[[#This Row],[Consumo Lt]]</f>
        <v>2.964864864864865</v>
      </c>
      <c r="BB168" s="11">
        <v>6</v>
      </c>
      <c r="BC168" s="42">
        <v>4782.62</v>
      </c>
      <c r="BD168" t="s">
        <v>20</v>
      </c>
      <c r="BE168" s="8">
        <v>300</v>
      </c>
      <c r="BG168" s="72"/>
      <c r="BH168" s="16">
        <v>46176</v>
      </c>
      <c r="BI168" s="10">
        <f t="shared" ref="BI168:BI177" si="43">BJ167</f>
        <v>495471</v>
      </c>
      <c r="BJ168" s="10">
        <v>495713</v>
      </c>
      <c r="BK168" s="10"/>
      <c r="BL168" s="10"/>
      <c r="BM168" s="11"/>
      <c r="BN168" s="18"/>
      <c r="BO168" s="12">
        <v>4031.68</v>
      </c>
      <c r="BP168" t="s">
        <v>20</v>
      </c>
      <c r="BQ168" s="8">
        <v>300</v>
      </c>
    </row>
    <row r="169" spans="1:69">
      <c r="A169" s="72"/>
      <c r="B169" s="16">
        <v>46031</v>
      </c>
      <c r="C169" s="10">
        <f>D168</f>
        <v>421747</v>
      </c>
      <c r="D169" s="10">
        <v>422803</v>
      </c>
      <c r="E169" s="10">
        <f>Table2691214203040547082981126101418222630[[#This Row],[KM Final]]-Table2691214203040547082981126101418222630[[#This Row],[KM Inicial]]</f>
        <v>1056</v>
      </c>
      <c r="F169" s="10">
        <v>244</v>
      </c>
      <c r="G169" s="11">
        <f>Table2691214203040547082981126101418222630[[#This Row],[KM Rodado]]/Table2691214203040547082981126101418222630[[#This Row],[Consumo Lt]]</f>
        <v>4.3278688524590168</v>
      </c>
      <c r="H169" s="18">
        <v>20</v>
      </c>
      <c r="I169" s="12">
        <v>1315.8</v>
      </c>
      <c r="J169" t="s">
        <v>24</v>
      </c>
      <c r="K169" s="8">
        <v>300</v>
      </c>
      <c r="M169" s="16">
        <v>46065</v>
      </c>
      <c r="N169" s="10">
        <f t="shared" si="39"/>
        <v>435719</v>
      </c>
      <c r="O169" s="10">
        <v>438244</v>
      </c>
      <c r="P169" s="10">
        <f>Table26912142030405470829811248121620242832[[#This Row],[KM Final]]-Table26912142030405470829811248121620242832[[#This Row],[KM Inicial]]</f>
        <v>2525</v>
      </c>
      <c r="Q169" s="10">
        <v>741</v>
      </c>
      <c r="R169" s="11">
        <f>Table26912142030405470829811248121620242832[[#This Row],[KM Rodado]]/Table26912142030405470829811248121620242832[[#This Row],[Consumo Lt]]</f>
        <v>3.407557354925776</v>
      </c>
      <c r="S169" s="11">
        <v>42</v>
      </c>
      <c r="T169" s="42">
        <v>4206.47</v>
      </c>
      <c r="U169" t="s">
        <v>25</v>
      </c>
      <c r="V169" s="8">
        <v>400</v>
      </c>
      <c r="X169" s="72"/>
      <c r="Y169" s="16">
        <v>46090</v>
      </c>
      <c r="Z169" s="10">
        <f t="shared" si="40"/>
        <v>448842</v>
      </c>
      <c r="AA169" s="10">
        <v>451290</v>
      </c>
      <c r="AB169" s="10">
        <f>Table2691214203040547082981124812162024283248[[#This Row],[KM Final]]-Table2691214203040547082981124812162024283248[[#This Row],[KM Inicial]]</f>
        <v>2448</v>
      </c>
      <c r="AC169" s="10">
        <v>732</v>
      </c>
      <c r="AD169" s="11">
        <f>Table2691214203040547082981124812162024283248[[#This Row],[KM Rodado]]/Table2691214203040547082981124812162024283248[[#This Row],[Consumo Lt]]</f>
        <v>3.3442622950819674</v>
      </c>
      <c r="AE169" s="11">
        <v>23</v>
      </c>
      <c r="AF169" s="42">
        <v>4421.3500000000004</v>
      </c>
      <c r="AG169" t="s">
        <v>71</v>
      </c>
      <c r="AH169" s="8">
        <v>300</v>
      </c>
      <c r="AJ169" s="16">
        <v>46124</v>
      </c>
      <c r="AK169" s="10">
        <f t="shared" si="41"/>
        <v>466660</v>
      </c>
      <c r="AL169" s="10">
        <v>468869</v>
      </c>
      <c r="AM169" s="10">
        <f>Table269121420304054708298112481216202428324880[[#This Row],[KM Final]]-Table269121420304054708298112481216202428324880[[#This Row],[KM Inicial]]</f>
        <v>2209</v>
      </c>
      <c r="AN169" s="10">
        <v>651</v>
      </c>
      <c r="AO169" s="11">
        <f>Table269121420304054708298112481216202428324880[[#This Row],[KM Rodado]]/Table269121420304054708298112481216202428324880[[#This Row],[Consumo Lt]]</f>
        <v>3.393241167434716</v>
      </c>
      <c r="AP169" s="11">
        <v>31.43</v>
      </c>
      <c r="AQ169" s="42">
        <v>4612.1400000000003</v>
      </c>
      <c r="AR169" t="s">
        <v>88</v>
      </c>
      <c r="AS169" s="8">
        <v>100</v>
      </c>
      <c r="AU169" s="72"/>
      <c r="AV169" s="16">
        <v>46152</v>
      </c>
      <c r="AW169" s="10">
        <f t="shared" si="42"/>
        <v>481077</v>
      </c>
      <c r="AX169" s="10">
        <v>483253</v>
      </c>
      <c r="AY169" s="10">
        <f>Table269121420304054708298112481216202428324880144[[#This Row],[KM Final]]-Table269121420304054708298112481216202428324880144[[#This Row],[KM Inicial]]</f>
        <v>2176</v>
      </c>
      <c r="AZ169" s="10">
        <v>698</v>
      </c>
      <c r="BA169" s="11">
        <f>Table269121420304054708298112481216202428324880144[[#This Row],[KM Rodado]]/Table269121420304054708298112481216202428324880144[[#This Row],[Consumo Lt]]</f>
        <v>3.1174785100286533</v>
      </c>
      <c r="BB169" s="11"/>
      <c r="BC169" s="42">
        <v>4395.33</v>
      </c>
      <c r="BD169" t="s">
        <v>111</v>
      </c>
      <c r="BE169" s="8">
        <v>90</v>
      </c>
      <c r="BG169" s="72"/>
      <c r="BH169" s="16">
        <v>46177</v>
      </c>
      <c r="BI169" s="10">
        <f t="shared" si="43"/>
        <v>495713</v>
      </c>
      <c r="BJ169" s="10">
        <v>496484</v>
      </c>
      <c r="BK169" s="10"/>
      <c r="BL169" s="10"/>
      <c r="BM169" s="11"/>
      <c r="BN169" s="18"/>
      <c r="BO169" s="12">
        <v>2937.36</v>
      </c>
      <c r="BP169" t="s">
        <v>124</v>
      </c>
      <c r="BQ169" s="8">
        <v>795</v>
      </c>
    </row>
    <row r="170" spans="1:69">
      <c r="A170" s="72"/>
      <c r="B170" s="16">
        <v>46036</v>
      </c>
      <c r="C170" s="10">
        <f>D169</f>
        <v>422803</v>
      </c>
      <c r="D170" s="10">
        <v>424119</v>
      </c>
      <c r="E170" s="10">
        <f>Table2691214203040547082981126101418222630[[#This Row],[KM Final]]-Table2691214203040547082981126101418222630[[#This Row],[KM Inicial]]</f>
        <v>1316</v>
      </c>
      <c r="F170" s="10">
        <v>408</v>
      </c>
      <c r="G170" s="11">
        <f>Table2691214203040547082981126101418222630[[#This Row],[KM Rodado]]/Table2691214203040547082981126101418222630[[#This Row],[Consumo Lt]]</f>
        <v>3.2254901960784315</v>
      </c>
      <c r="H170" s="18">
        <v>32</v>
      </c>
      <c r="I170" s="12">
        <v>2409.9</v>
      </c>
      <c r="J170" t="s">
        <v>25</v>
      </c>
      <c r="K170" s="14">
        <v>330</v>
      </c>
      <c r="M170" s="9">
        <v>46071</v>
      </c>
      <c r="N170" s="10">
        <f t="shared" si="39"/>
        <v>438244</v>
      </c>
      <c r="O170" s="5">
        <v>441081</v>
      </c>
      <c r="P170" s="10"/>
      <c r="Q170" s="5"/>
      <c r="R170" s="11"/>
      <c r="S170" s="11">
        <v>10</v>
      </c>
      <c r="T170" s="43">
        <v>327.42</v>
      </c>
      <c r="U170" t="s">
        <v>54</v>
      </c>
      <c r="V170" s="14">
        <v>1350</v>
      </c>
      <c r="X170" s="72"/>
      <c r="Y170" s="9">
        <v>46092</v>
      </c>
      <c r="Z170" s="10">
        <f t="shared" si="40"/>
        <v>451290</v>
      </c>
      <c r="AA170" s="5">
        <v>452377</v>
      </c>
      <c r="AB170" s="10">
        <f>Table2691214203040547082981124812162024283248[[#This Row],[KM Final]]-Table2691214203040547082981124812162024283248[[#This Row],[KM Inicial]]</f>
        <v>1087</v>
      </c>
      <c r="AC170" s="5">
        <v>240</v>
      </c>
      <c r="AD170" s="11">
        <f>Table2691214203040547082981124812162024283248[[#This Row],[KM Rodado]]/Table2691214203040547082981124812162024283248[[#This Row],[Consumo Lt]]</f>
        <v>4.5291666666666668</v>
      </c>
      <c r="AE170" s="11"/>
      <c r="AF170" s="43">
        <v>1449.76</v>
      </c>
      <c r="AG170" t="s">
        <v>68</v>
      </c>
      <c r="AH170" s="14">
        <v>1000</v>
      </c>
      <c r="AJ170" s="9">
        <v>46130</v>
      </c>
      <c r="AK170" s="10">
        <f t="shared" si="41"/>
        <v>468869</v>
      </c>
      <c r="AL170" s="5">
        <v>471780</v>
      </c>
      <c r="AM170" s="10">
        <f>Table269121420304054708298112481216202428324880[[#This Row],[KM Final]]-Table269121420304054708298112481216202428324880[[#This Row],[KM Inicial]]</f>
        <v>2911</v>
      </c>
      <c r="AN170" s="5">
        <v>841</v>
      </c>
      <c r="AO170" s="11">
        <f>Table269121420304054708298112481216202428324880[[#This Row],[KM Rodado]]/Table269121420304054708298112481216202428324880[[#This Row],[Consumo Lt]]</f>
        <v>3.4613555291319855</v>
      </c>
      <c r="AP170" s="11">
        <v>19.7</v>
      </c>
      <c r="AQ170" s="43">
        <v>5718.8</v>
      </c>
      <c r="AR170" t="s">
        <v>87</v>
      </c>
      <c r="AS170" s="14">
        <v>150</v>
      </c>
      <c r="AU170" s="72"/>
      <c r="AV170" s="9">
        <v>46156</v>
      </c>
      <c r="AW170" s="10">
        <f t="shared" si="42"/>
        <v>483253</v>
      </c>
      <c r="AX170" s="5">
        <v>485378</v>
      </c>
      <c r="AY170" s="10">
        <f>Table269121420304054708298112481216202428324880144[[#This Row],[KM Final]]-Table269121420304054708298112481216202428324880144[[#This Row],[KM Inicial]]</f>
        <v>2125</v>
      </c>
      <c r="AZ170" s="5">
        <v>672</v>
      </c>
      <c r="BA170" s="11">
        <f>Table269121420304054708298112481216202428324880144[[#This Row],[KM Rodado]]/Table269121420304054708298112481216202428324880144[[#This Row],[Consumo Lt]]</f>
        <v>3.1622023809523809</v>
      </c>
      <c r="BB170" s="11"/>
      <c r="BC170" s="43">
        <v>4146.3999999999996</v>
      </c>
      <c r="BD170" t="s">
        <v>25</v>
      </c>
      <c r="BE170" s="14">
        <v>250</v>
      </c>
      <c r="BG170" s="72"/>
      <c r="BH170" s="16">
        <v>46179</v>
      </c>
      <c r="BI170" s="10">
        <f t="shared" si="43"/>
        <v>496484</v>
      </c>
      <c r="BJ170" s="10">
        <v>498324</v>
      </c>
      <c r="BK170" s="10">
        <v>2611</v>
      </c>
      <c r="BL170" s="10">
        <v>989</v>
      </c>
      <c r="BM170" s="11">
        <f>Table269121420304054708298112610141822263084[[#This Row],[KM Rodado]]/Table269121420304054708298112610141822263084[[#This Row],[Consumo Lt]]</f>
        <v>2.6400404448938319</v>
      </c>
      <c r="BN170" s="18">
        <v>19</v>
      </c>
      <c r="BO170" s="12">
        <v>3312.5</v>
      </c>
      <c r="BP170" t="s">
        <v>125</v>
      </c>
      <c r="BQ170" s="14">
        <v>730</v>
      </c>
    </row>
    <row r="171" spans="1:69">
      <c r="A171" s="72"/>
      <c r="B171" s="16">
        <v>46043</v>
      </c>
      <c r="C171" s="10">
        <v>424119</v>
      </c>
      <c r="D171" s="10">
        <v>426490</v>
      </c>
      <c r="E171" s="10">
        <f>Table2691214203040547082981126101418222630[[#This Row],[KM Final]]-Table2691214203040547082981126101418222630[[#This Row],[KM Inicial]]</f>
        <v>2371</v>
      </c>
      <c r="F171" s="10">
        <v>700.02099999999996</v>
      </c>
      <c r="G171" s="11">
        <f>Table2691214203040547082981126101418222630[[#This Row],[KM Rodado]]/Table2691214203040547082981126101418222630[[#This Row],[Consumo Lt]]</f>
        <v>3.3870412459054804</v>
      </c>
      <c r="H171" s="18">
        <v>44.271000000000001</v>
      </c>
      <c r="I171" s="12">
        <v>4044.08</v>
      </c>
      <c r="J171" t="s">
        <v>26</v>
      </c>
      <c r="K171" s="8">
        <v>493.13</v>
      </c>
      <c r="M171" s="9">
        <v>46072</v>
      </c>
      <c r="N171" s="10">
        <f t="shared" si="39"/>
        <v>441081</v>
      </c>
      <c r="O171" s="5">
        <v>441358</v>
      </c>
      <c r="P171" s="10">
        <v>3114</v>
      </c>
      <c r="Q171" s="5">
        <v>856</v>
      </c>
      <c r="R171" s="11">
        <f>Table26912142030405470829811248121620242832[[#This Row],[KM Rodado]]/Table26912142030405470829811248121620242832[[#This Row],[Consumo Lt]]</f>
        <v>3.6378504672897196</v>
      </c>
      <c r="S171" s="11">
        <v>52</v>
      </c>
      <c r="T171" s="43">
        <v>4681.3500000000004</v>
      </c>
      <c r="U171" t="s">
        <v>23</v>
      </c>
      <c r="V171" s="8">
        <v>70</v>
      </c>
      <c r="X171" s="72"/>
      <c r="Y171" s="9">
        <v>46094</v>
      </c>
      <c r="Z171" s="10">
        <f t="shared" si="40"/>
        <v>452377</v>
      </c>
      <c r="AA171" s="5">
        <v>453709</v>
      </c>
      <c r="AB171" s="10">
        <f>Table2691214203040547082981124812162024283248[[#This Row],[KM Final]]-Table2691214203040547082981124812162024283248[[#This Row],[KM Inicial]]</f>
        <v>1332</v>
      </c>
      <c r="AC171" s="5">
        <v>231</v>
      </c>
      <c r="AD171" s="11">
        <f>Table2691214203040547082981124812162024283248[[#This Row],[KM Rodado]]/Table2691214203040547082981124812162024283248[[#This Row],[Consumo Lt]]</f>
        <v>5.7662337662337659</v>
      </c>
      <c r="AE171" s="11"/>
      <c r="AF171" s="43">
        <v>1499.96</v>
      </c>
      <c r="AG171" t="s">
        <v>70</v>
      </c>
      <c r="AH171" s="8">
        <v>312</v>
      </c>
      <c r="AJ171" s="9">
        <v>46134</v>
      </c>
      <c r="AK171" s="10">
        <f t="shared" si="41"/>
        <v>471780</v>
      </c>
      <c r="AL171" s="5">
        <v>474313</v>
      </c>
      <c r="AM171" s="10">
        <f>Table269121420304054708298112481216202428324880[[#This Row],[KM Final]]-Table269121420304054708298112481216202428324880[[#This Row],[KM Inicial]]</f>
        <v>2533</v>
      </c>
      <c r="AN171" s="5">
        <v>763</v>
      </c>
      <c r="AO171" s="11">
        <f>Table269121420304054708298112481216202428324880[[#This Row],[KM Rodado]]/Table269121420304054708298112481216202428324880[[#This Row],[Consumo Lt]]</f>
        <v>3.3197903014416776</v>
      </c>
      <c r="AP171" s="11"/>
      <c r="AQ171" s="43">
        <v>5092.7299999999996</v>
      </c>
      <c r="AR171" t="s">
        <v>83</v>
      </c>
      <c r="AS171" s="8">
        <v>200</v>
      </c>
      <c r="AU171" s="72"/>
      <c r="AV171" s="9">
        <v>46157</v>
      </c>
      <c r="AW171" s="10">
        <f t="shared" si="42"/>
        <v>485378</v>
      </c>
      <c r="AX171" s="5">
        <v>486173</v>
      </c>
      <c r="AY171" s="10">
        <f>Table269121420304054708298112481216202428324880144[[#This Row],[KM Final]]-Table269121420304054708298112481216202428324880144[[#This Row],[KM Inicial]]</f>
        <v>795</v>
      </c>
      <c r="AZ171" s="5">
        <v>226</v>
      </c>
      <c r="BA171" s="11">
        <f>Table269121420304054708298112481216202428324880144[[#This Row],[KM Rodado]]/Table269121420304054708298112481216202428324880144[[#This Row],[Consumo Lt]]</f>
        <v>3.5176991150442478</v>
      </c>
      <c r="BB171" s="11"/>
      <c r="BC171" s="43">
        <v>1394.42</v>
      </c>
      <c r="BD171" t="s">
        <v>112</v>
      </c>
      <c r="BE171" s="8">
        <v>300</v>
      </c>
      <c r="BG171" s="72"/>
      <c r="BH171" s="16">
        <v>46182</v>
      </c>
      <c r="BI171" s="10">
        <f t="shared" si="43"/>
        <v>498324</v>
      </c>
      <c r="BJ171" s="10">
        <v>499779</v>
      </c>
      <c r="BK171" s="10">
        <f>Table269121420304054708298112610141822263084[[#This Row],[KM Final]]-Table269121420304054708298112610141822263084[[#This Row],[KM Inicial]]</f>
        <v>1455</v>
      </c>
      <c r="BL171" s="10">
        <v>394</v>
      </c>
      <c r="BM171" s="11">
        <f>Table269121420304054708298112610141822263084[[#This Row],[KM Rodado]]/Table269121420304054708298112610141822263084[[#This Row],[Consumo Lt]]</f>
        <v>3.6928934010152283</v>
      </c>
      <c r="BN171" s="18"/>
      <c r="BO171" s="12">
        <v>2344.44</v>
      </c>
      <c r="BP171" t="s">
        <v>126</v>
      </c>
      <c r="BQ171" s="8">
        <v>650</v>
      </c>
    </row>
    <row r="172" spans="1:69">
      <c r="A172" s="72"/>
      <c r="B172" s="16">
        <v>46046</v>
      </c>
      <c r="C172" s="10">
        <f>D171</f>
        <v>426490</v>
      </c>
      <c r="D172" s="10">
        <v>428081</v>
      </c>
      <c r="E172" s="10">
        <f>Table2691214203040547082981126101418222630[[#This Row],[KM Final]]-Table2691214203040547082981126101418222630[[#This Row],[KM Inicial]]</f>
        <v>1591</v>
      </c>
      <c r="F172" s="10">
        <v>517</v>
      </c>
      <c r="G172" s="11">
        <f>Table2691214203040547082981126101418222630[[#This Row],[KM Rodado]]/Table2691214203040547082981126101418222630[[#This Row],[Consumo Lt]]</f>
        <v>3.0773694390715667</v>
      </c>
      <c r="H172" s="18">
        <v>35</v>
      </c>
      <c r="I172" s="12">
        <v>2959.03</v>
      </c>
      <c r="J172" t="s">
        <v>27</v>
      </c>
      <c r="K172" s="8">
        <v>100</v>
      </c>
      <c r="M172" s="9">
        <v>46076</v>
      </c>
      <c r="N172" s="10">
        <f t="shared" si="39"/>
        <v>441358</v>
      </c>
      <c r="O172" s="5">
        <v>444183</v>
      </c>
      <c r="P172" s="10">
        <f>Table26912142030405470829811248121620242832[[#This Row],[KM Final]]-Table26912142030405470829811248121620242832[[#This Row],[KM Inicial]]</f>
        <v>2825</v>
      </c>
      <c r="Q172" s="5">
        <v>784</v>
      </c>
      <c r="R172" s="11">
        <f>Table26912142030405470829811248121620242832[[#This Row],[KM Rodado]]/Table26912142030405470829811248121620242832[[#This Row],[Consumo Lt]]</f>
        <v>3.6033163265306123</v>
      </c>
      <c r="S172" s="11">
        <v>35.72</v>
      </c>
      <c r="T172" s="43">
        <v>4424.88</v>
      </c>
      <c r="U172" t="s">
        <v>55</v>
      </c>
      <c r="V172" s="8">
        <v>90</v>
      </c>
      <c r="X172" s="72"/>
      <c r="Y172" s="9">
        <v>46097</v>
      </c>
      <c r="Z172" s="10">
        <f t="shared" si="40"/>
        <v>453709</v>
      </c>
      <c r="AA172" s="5">
        <v>454579</v>
      </c>
      <c r="AB172" s="10">
        <f>Table2691214203040547082981124812162024283248[[#This Row],[KM Final]]-Table2691214203040547082981124812162024283248[[#This Row],[KM Inicial]]</f>
        <v>870</v>
      </c>
      <c r="AC172" s="5">
        <v>420</v>
      </c>
      <c r="AD172" s="11">
        <f>Table2691214203040547082981124812162024283248[[#This Row],[KM Rodado]]/Table2691214203040547082981124812162024283248[[#This Row],[Consumo Lt]]</f>
        <v>2.0714285714285716</v>
      </c>
      <c r="AE172" s="11">
        <v>28</v>
      </c>
      <c r="AF172" s="43">
        <v>2500</v>
      </c>
      <c r="AH172" s="8"/>
      <c r="AJ172" s="9">
        <v>46137</v>
      </c>
      <c r="AK172" s="10">
        <f t="shared" si="41"/>
        <v>474313</v>
      </c>
      <c r="AL172" s="5">
        <v>476097</v>
      </c>
      <c r="AM172" s="10">
        <f>Table269121420304054708298112481216202428324880[[#This Row],[KM Final]]-Table269121420304054708298112481216202428324880[[#This Row],[KM Inicial]]</f>
        <v>1784</v>
      </c>
      <c r="AN172" s="5"/>
      <c r="AO172" s="11"/>
      <c r="AP172" s="11"/>
      <c r="AQ172" s="43"/>
      <c r="AR172" t="s">
        <v>81</v>
      </c>
      <c r="AS172" s="8">
        <v>250</v>
      </c>
      <c r="AU172" s="72"/>
      <c r="AV172" s="9">
        <v>46163</v>
      </c>
      <c r="AW172" s="10">
        <f t="shared" si="42"/>
        <v>486173</v>
      </c>
      <c r="AX172" s="5">
        <v>489155</v>
      </c>
      <c r="AY172" s="10">
        <f>Table269121420304054708298112481216202428324880144[[#This Row],[KM Final]]-Table269121420304054708298112481216202428324880144[[#This Row],[KM Inicial]]</f>
        <v>2982</v>
      </c>
      <c r="AZ172" s="5">
        <v>40</v>
      </c>
      <c r="BA172" s="11">
        <f>Table269121420304054708298112481216202428324880144[[#This Row],[KM Rodado]]/Table269121420304054708298112481216202428324880144[[#This Row],[Consumo Lt]]</f>
        <v>74.55</v>
      </c>
      <c r="BB172" s="11"/>
      <c r="BC172" s="43">
        <v>306.12</v>
      </c>
      <c r="BD172" t="s">
        <v>71</v>
      </c>
      <c r="BE172" s="8">
        <v>1500</v>
      </c>
      <c r="BG172" s="72"/>
      <c r="BH172" s="16">
        <v>46185</v>
      </c>
      <c r="BI172" s="10">
        <f t="shared" si="43"/>
        <v>499779</v>
      </c>
      <c r="BJ172" s="10">
        <v>501838</v>
      </c>
      <c r="BK172" s="19"/>
      <c r="BL172" s="19"/>
      <c r="BM172" s="28"/>
      <c r="BN172" s="18"/>
      <c r="BO172" s="12">
        <v>1278</v>
      </c>
      <c r="BP172" t="s">
        <v>121</v>
      </c>
      <c r="BQ172" s="8">
        <v>2500</v>
      </c>
    </row>
    <row r="173" spans="1:69">
      <c r="A173" s="72"/>
      <c r="B173" s="16">
        <v>46048</v>
      </c>
      <c r="C173" s="10">
        <f>D172</f>
        <v>428081</v>
      </c>
      <c r="D173" s="10">
        <v>429446</v>
      </c>
      <c r="E173" s="10">
        <f>Table2691214203040547082981126101418222630[[#This Row],[KM Final]]-Table2691214203040547082981126101418222630[[#This Row],[KM Inicial]]</f>
        <v>1365</v>
      </c>
      <c r="F173" s="10">
        <v>400</v>
      </c>
      <c r="G173" s="11">
        <f>Table2691214203040547082981126101418222630[[#This Row],[KM Rodado]]/Table2691214203040547082981126101418222630[[#This Row],[Consumo Lt]]</f>
        <v>3.4125000000000001</v>
      </c>
      <c r="H173" s="18">
        <v>20</v>
      </c>
      <c r="I173" s="12">
        <v>2267.85</v>
      </c>
      <c r="J173" t="s">
        <v>28</v>
      </c>
      <c r="K173" s="8">
        <v>355</v>
      </c>
      <c r="M173" s="9">
        <v>46079</v>
      </c>
      <c r="N173" s="10">
        <f>O172</f>
        <v>444183</v>
      </c>
      <c r="O173" s="5">
        <v>445939</v>
      </c>
      <c r="P173" s="10">
        <f>Table26912142030405470829811248121620242832[[#This Row],[KM Final]]-Table26912142030405470829811248121620242832[[#This Row],[KM Inicial]]</f>
        <v>1756</v>
      </c>
      <c r="Q173" s="5">
        <v>519</v>
      </c>
      <c r="R173" s="11">
        <f>Table26912142030405470829811248121620242832[[#This Row],[KM Rodado]]/Table26912142030405470829811248121620242832[[#This Row],[Consumo Lt]]</f>
        <v>3.3834296724470136</v>
      </c>
      <c r="S173" s="11">
        <v>21.67</v>
      </c>
      <c r="T173" s="43">
        <v>2863.25</v>
      </c>
      <c r="V173" s="8"/>
      <c r="X173" s="72"/>
      <c r="Y173" s="9">
        <v>46102</v>
      </c>
      <c r="Z173" s="10">
        <f t="shared" si="40"/>
        <v>454579</v>
      </c>
      <c r="AA173" s="5">
        <v>456942</v>
      </c>
      <c r="AB173" s="10">
        <f>Table2691214203040547082981124812162024283248[[#This Row],[KM Final]]-Table2691214203040547082981124812162024283248[[#This Row],[KM Inicial]]</f>
        <v>2363</v>
      </c>
      <c r="AC173" s="5">
        <v>680</v>
      </c>
      <c r="AD173" s="11">
        <f>Table2691214203040547082981124812162024283248[[#This Row],[KM Rodado]]/Table2691214203040547082981124812162024283248[[#This Row],[Consumo Lt]]</f>
        <v>3.4750000000000001</v>
      </c>
      <c r="AE173" s="11"/>
      <c r="AF173" s="43">
        <v>4481.28</v>
      </c>
      <c r="AH173" s="8"/>
      <c r="AJ173" s="9">
        <v>46141</v>
      </c>
      <c r="AK173" s="10">
        <f t="shared" si="41"/>
        <v>476097</v>
      </c>
      <c r="AL173" s="5">
        <v>477203</v>
      </c>
      <c r="AM173" s="10">
        <f>Table269121420304054708298112481216202428324880[[#This Row],[KM Final]]-Table269121420304054708298112481216202428324880[[#This Row],[KM Inicial]]</f>
        <v>1106</v>
      </c>
      <c r="AN173" s="5">
        <v>826</v>
      </c>
      <c r="AO173" s="11">
        <f>Table269121420304054708298112481216202428324880[[#This Row],[KM Rodado]]/Table269121420304054708298112481216202428324880[[#This Row],[Consumo Lt]]</f>
        <v>1.3389830508474576</v>
      </c>
      <c r="AP173" s="11">
        <v>23</v>
      </c>
      <c r="AQ173" s="43">
        <v>5409.05</v>
      </c>
      <c r="AR173" t="s">
        <v>84</v>
      </c>
      <c r="AS173" s="8">
        <v>266</v>
      </c>
      <c r="AU173" s="72"/>
      <c r="AV173" s="9">
        <v>46163</v>
      </c>
      <c r="AW173" s="10">
        <f t="shared" si="42"/>
        <v>489155</v>
      </c>
      <c r="AX173" s="5">
        <v>489167</v>
      </c>
      <c r="AY173" s="10">
        <f>Table269121420304054708298112481216202428324880144[[#This Row],[KM Final]]-Table269121420304054708298112481216202428324880144[[#This Row],[KM Inicial]]</f>
        <v>12</v>
      </c>
      <c r="AZ173" s="5">
        <v>390</v>
      </c>
      <c r="BA173" s="11">
        <f>Table269121420304054708298112481216202428324880144[[#This Row],[KM Rodado]]/Table269121420304054708298112481216202428324880144[[#This Row],[Consumo Lt]]</f>
        <v>3.0769230769230771E-2</v>
      </c>
      <c r="BB173" s="11"/>
      <c r="BC173" s="43">
        <v>2726.1</v>
      </c>
      <c r="BE173" s="8"/>
      <c r="BG173" s="72"/>
      <c r="BH173" s="16">
        <v>46186</v>
      </c>
      <c r="BI173" s="10">
        <f t="shared" si="43"/>
        <v>501838</v>
      </c>
      <c r="BJ173" s="10">
        <v>502952</v>
      </c>
      <c r="BK173" s="19"/>
      <c r="BL173" s="19"/>
      <c r="BM173" s="28"/>
      <c r="BN173" s="18"/>
      <c r="BO173" s="12">
        <v>1358</v>
      </c>
      <c r="BP173" t="s">
        <v>118</v>
      </c>
      <c r="BQ173" s="8">
        <v>1800</v>
      </c>
    </row>
    <row r="174" spans="1:69">
      <c r="A174" s="72"/>
      <c r="B174" s="16">
        <v>46052</v>
      </c>
      <c r="C174" s="10">
        <f>D173</f>
        <v>429446</v>
      </c>
      <c r="D174" s="10">
        <v>432019</v>
      </c>
      <c r="E174" s="10">
        <f>Table2691214203040547082981126101418222630[[#This Row],[KM Final]]-Table2691214203040547082981126101418222630[[#This Row],[KM Inicial]]</f>
        <v>2573</v>
      </c>
      <c r="F174" s="10">
        <v>634</v>
      </c>
      <c r="G174" s="11">
        <f>Table2691214203040547082981126101418222630[[#This Row],[KM Rodado]]/Table2691214203040547082981126101418222630[[#This Row],[Consumo Lt]]</f>
        <v>4.0583596214511042</v>
      </c>
      <c r="H174" s="18">
        <v>35</v>
      </c>
      <c r="I174" s="12">
        <v>3410.95</v>
      </c>
      <c r="J174" t="s">
        <v>29</v>
      </c>
      <c r="K174" s="8">
        <v>45</v>
      </c>
      <c r="M174" s="9"/>
      <c r="N174" s="15">
        <f>O173</f>
        <v>445939</v>
      </c>
      <c r="O174" s="5"/>
      <c r="P174" s="10"/>
      <c r="Q174" s="5"/>
      <c r="R174" s="11"/>
      <c r="S174" s="11"/>
      <c r="T174" s="43"/>
      <c r="V174" s="8"/>
      <c r="X174" s="72"/>
      <c r="Y174" s="9">
        <v>46107</v>
      </c>
      <c r="Z174" s="39">
        <f t="shared" si="40"/>
        <v>456942</v>
      </c>
      <c r="AA174" s="5">
        <v>459719</v>
      </c>
      <c r="AB174" s="10">
        <f>Table2691214203040547082981124812162024283248[[#This Row],[KM Final]]-Table2691214203040547082981124812162024283248[[#This Row],[KM Inicial]]</f>
        <v>2777</v>
      </c>
      <c r="AC174" s="5">
        <v>733</v>
      </c>
      <c r="AD174" s="11">
        <f>Table2691214203040547082981124812162024283248[[#This Row],[KM Rodado]]/Table2691214203040547082981124812162024283248[[#This Row],[Consumo Lt]]</f>
        <v>3.7885402455661663</v>
      </c>
      <c r="AE174" s="11">
        <v>49</v>
      </c>
      <c r="AF174" s="43">
        <v>5287.52</v>
      </c>
      <c r="AH174" s="8"/>
      <c r="AJ174" s="9"/>
      <c r="AK174" s="15">
        <f t="shared" si="41"/>
        <v>477203</v>
      </c>
      <c r="AL174" s="5"/>
      <c r="AM174" s="10"/>
      <c r="AN174" s="5"/>
      <c r="AO174" s="11"/>
      <c r="AP174" s="11"/>
      <c r="AQ174" s="43"/>
      <c r="AR174" t="s">
        <v>85</v>
      </c>
      <c r="AS174" s="8">
        <v>39</v>
      </c>
      <c r="AU174" s="72"/>
      <c r="AV174" s="9">
        <v>46165</v>
      </c>
      <c r="AW174" s="39">
        <f t="shared" si="42"/>
        <v>489167</v>
      </c>
      <c r="AX174" s="5">
        <v>489955</v>
      </c>
      <c r="AY174" s="10">
        <f>Table269121420304054708298112481216202428324880144[[#This Row],[KM Final]]-Table269121420304054708298112481216202428324880144[[#This Row],[KM Inicial]]</f>
        <v>788</v>
      </c>
      <c r="AZ174" s="5">
        <v>698</v>
      </c>
      <c r="BA174" s="11">
        <f>Table269121420304054708298112481216202428324880144[[#This Row],[KM Rodado]]/Table269121420304054708298112481216202428324880144[[#This Row],[Consumo Lt]]</f>
        <v>1.1289398280802292</v>
      </c>
      <c r="BB174" s="11"/>
      <c r="BC174" s="43">
        <v>4996.34</v>
      </c>
      <c r="BE174" s="8"/>
      <c r="BG174" s="72"/>
      <c r="BH174" s="16">
        <v>46187</v>
      </c>
      <c r="BI174" s="10">
        <f t="shared" si="43"/>
        <v>502952</v>
      </c>
      <c r="BJ174" s="10">
        <v>503341</v>
      </c>
      <c r="BK174" s="10">
        <v>3562</v>
      </c>
      <c r="BL174" s="10">
        <v>1117</v>
      </c>
      <c r="BM174" s="11">
        <f>Table269121420304054708298112610141822263084[[#This Row],[KM Rodado]]/Table269121420304054708298112610141822263084[[#This Row],[Consumo Lt]]</f>
        <v>3.1888988361683079</v>
      </c>
      <c r="BN174" s="18"/>
      <c r="BO174" s="12">
        <v>4481.28</v>
      </c>
      <c r="BP174" t="s">
        <v>127</v>
      </c>
      <c r="BQ174" s="8">
        <v>200</v>
      </c>
    </row>
    <row r="175" spans="1:69">
      <c r="A175" s="72"/>
      <c r="B175" s="16"/>
      <c r="C175" s="10"/>
      <c r="D175" s="10"/>
      <c r="E175" s="10"/>
      <c r="F175" s="10"/>
      <c r="G175" s="11"/>
      <c r="H175" s="18"/>
      <c r="I175" s="12"/>
      <c r="K175" s="8"/>
      <c r="M175" s="5"/>
      <c r="N175" s="15"/>
      <c r="O175" s="5"/>
      <c r="P175" s="10"/>
      <c r="Q175" s="5"/>
      <c r="R175" s="11"/>
      <c r="S175" s="11"/>
      <c r="T175" s="43"/>
      <c r="V175" s="8"/>
      <c r="X175" s="72"/>
      <c r="Y175" s="9">
        <v>46109</v>
      </c>
      <c r="Z175" s="39">
        <f t="shared" si="40"/>
        <v>459719</v>
      </c>
      <c r="AA175" s="5">
        <v>460655</v>
      </c>
      <c r="AB175" s="10">
        <f>Table2691214203040547082981124812162024283248[[#This Row],[KM Final]]-Table2691214203040547082981124812162024283248[[#This Row],[KM Inicial]]</f>
        <v>936</v>
      </c>
      <c r="AC175" s="5">
        <v>93</v>
      </c>
      <c r="AD175" s="11">
        <f>Table2691214203040547082981124812162024283248[[#This Row],[KM Rodado]]/Table2691214203040547082981124812162024283248[[#This Row],[Consumo Lt]]</f>
        <v>10.064516129032258</v>
      </c>
      <c r="AE175" s="11"/>
      <c r="AF175" s="43">
        <v>612.87</v>
      </c>
      <c r="AH175" s="8"/>
      <c r="AJ175" s="9"/>
      <c r="AK175" s="39"/>
      <c r="AL175" s="5"/>
      <c r="AM175" s="10"/>
      <c r="AN175" s="5"/>
      <c r="AO175" s="11"/>
      <c r="AP175" s="11"/>
      <c r="AQ175" s="43"/>
      <c r="AR175" t="s">
        <v>82</v>
      </c>
      <c r="AS175" s="8">
        <v>1223</v>
      </c>
      <c r="AU175" s="72"/>
      <c r="AV175" s="9">
        <v>46166</v>
      </c>
      <c r="AW175" s="39">
        <f t="shared" si="42"/>
        <v>489955</v>
      </c>
      <c r="AX175" s="5">
        <v>490592</v>
      </c>
      <c r="AY175" s="10">
        <f>Table269121420304054708298112481216202428324880144[[#This Row],[KM Final]]-Table269121420304054708298112481216202428324880144[[#This Row],[KM Inicial]]</f>
        <v>637</v>
      </c>
      <c r="AZ175" s="5">
        <v>177</v>
      </c>
      <c r="BA175" s="11">
        <f>Table269121420304054708298112481216202428324880144[[#This Row],[KM Rodado]]/Table269121420304054708298112481216202428324880144[[#This Row],[Consumo Lt]]</f>
        <v>3.5988700564971752</v>
      </c>
      <c r="BB175" s="11"/>
      <c r="BC175" s="43">
        <v>1175.4000000000001</v>
      </c>
      <c r="BE175" s="8"/>
      <c r="BG175" s="72"/>
      <c r="BH175" s="16">
        <v>46189</v>
      </c>
      <c r="BI175" s="10">
        <f t="shared" si="43"/>
        <v>503341</v>
      </c>
      <c r="BJ175" s="10">
        <v>504342</v>
      </c>
      <c r="BK175" s="10">
        <f>Table269121420304054708298112610141822263084[[#This Row],[KM Final]]-Table269121420304054708298112610141822263084[[#This Row],[KM Inicial]]</f>
        <v>1001</v>
      </c>
      <c r="BL175" s="10">
        <v>292</v>
      </c>
      <c r="BM175" s="11">
        <f>Table269121420304054708298112610141822263084[[#This Row],[KM Rodado]]/Table269121420304054708298112610141822263084[[#This Row],[Consumo Lt]]</f>
        <v>3.4280821917808217</v>
      </c>
      <c r="BN175" s="18"/>
      <c r="BO175" s="12">
        <v>1895.08</v>
      </c>
      <c r="BP175" t="s">
        <v>129</v>
      </c>
      <c r="BQ175" s="8">
        <v>69</v>
      </c>
    </row>
    <row r="176" spans="1:69">
      <c r="A176" s="72"/>
      <c r="B176" s="16"/>
      <c r="C176" s="10"/>
      <c r="D176" s="10"/>
      <c r="E176" s="10"/>
      <c r="F176" s="10"/>
      <c r="G176" s="11"/>
      <c r="H176" s="18"/>
      <c r="I176" s="12"/>
      <c r="K176" s="8"/>
      <c r="M176" s="9"/>
      <c r="N176" s="5"/>
      <c r="O176" s="5"/>
      <c r="P176" s="10"/>
      <c r="Q176" s="5"/>
      <c r="R176" s="11"/>
      <c r="S176" s="11"/>
      <c r="T176" s="43"/>
      <c r="V176" s="8"/>
      <c r="X176" s="72"/>
      <c r="Y176" s="9">
        <v>46109</v>
      </c>
      <c r="Z176" s="39">
        <f t="shared" si="40"/>
        <v>460655</v>
      </c>
      <c r="AA176" s="5">
        <v>460659</v>
      </c>
      <c r="AB176" s="10">
        <f>Table2691214203040547082981124812162024283248[[#This Row],[KM Final]]-Table2691214203040547082981124812162024283248[[#This Row],[KM Inicial]]</f>
        <v>4</v>
      </c>
      <c r="AC176" s="5">
        <v>222</v>
      </c>
      <c r="AD176" s="11">
        <f>Table2691214203040547082981124812162024283248[[#This Row],[KM Rodado]]/Table2691214203040547082981124812162024283248[[#This Row],[Consumo Lt]]</f>
        <v>1.8018018018018018E-2</v>
      </c>
      <c r="AE176" s="11"/>
      <c r="AF176" s="43">
        <v>1454.06</v>
      </c>
      <c r="AH176" s="8"/>
      <c r="AJ176" s="9"/>
      <c r="AK176" s="39"/>
      <c r="AL176" s="5"/>
      <c r="AM176" s="10"/>
      <c r="AN176" s="5"/>
      <c r="AO176" s="11"/>
      <c r="AP176" s="11"/>
      <c r="AQ176" s="43"/>
      <c r="AR176" t="s">
        <v>86</v>
      </c>
      <c r="AS176" s="8">
        <v>400</v>
      </c>
      <c r="AU176" s="72"/>
      <c r="AV176" s="9">
        <v>46169</v>
      </c>
      <c r="AW176" s="39">
        <f t="shared" si="42"/>
        <v>490592</v>
      </c>
      <c r="AX176" s="5">
        <v>492674</v>
      </c>
      <c r="AY176" s="10">
        <f>Table269121420304054708298112481216202428324880144[[#This Row],[KM Final]]-Table269121420304054708298112481216202428324880144[[#This Row],[KM Inicial]]</f>
        <v>2082</v>
      </c>
      <c r="AZ176" s="5">
        <v>730</v>
      </c>
      <c r="BA176" s="11">
        <f>Table269121420304054708298112481216202428324880144[[#This Row],[KM Rodado]]/Table269121420304054708298112481216202428324880144[[#This Row],[Consumo Lt]]</f>
        <v>2.8520547945205479</v>
      </c>
      <c r="BB176" s="11"/>
      <c r="BC176" s="43">
        <v>4672</v>
      </c>
      <c r="BE176" s="8"/>
      <c r="BG176" s="72"/>
      <c r="BH176" s="16">
        <v>46191</v>
      </c>
      <c r="BI176" s="10">
        <f t="shared" si="43"/>
        <v>504342</v>
      </c>
      <c r="BJ176" s="10">
        <v>505706</v>
      </c>
      <c r="BK176" s="10">
        <f>Table269121420304054708298112610141822263084[[#This Row],[KM Final]]-Table269121420304054708298112610141822263084[[#This Row],[KM Inicial]]</f>
        <v>1364</v>
      </c>
      <c r="BL176" s="10">
        <v>418</v>
      </c>
      <c r="BM176" s="11">
        <f>Table269121420304054708298112610141822263084[[#This Row],[KM Rodado]]/Table269121420304054708298112610141822263084[[#This Row],[Consumo Lt]]</f>
        <v>3.263157894736842</v>
      </c>
      <c r="BN176" s="18"/>
      <c r="BO176" s="12">
        <v>2612.58</v>
      </c>
      <c r="BQ176" s="8"/>
    </row>
    <row r="177" spans="1:69">
      <c r="A177" s="72"/>
      <c r="B177" s="16"/>
      <c r="C177" s="10"/>
      <c r="D177" s="10"/>
      <c r="E177" s="10"/>
      <c r="F177" s="10"/>
      <c r="G177" s="11"/>
      <c r="H177" s="18"/>
      <c r="I177" s="12"/>
      <c r="K177" s="8"/>
      <c r="M177" s="9"/>
      <c r="N177" s="5"/>
      <c r="O177" s="5"/>
      <c r="P177" s="10"/>
      <c r="Q177" s="5"/>
      <c r="R177" s="11"/>
      <c r="S177" s="11"/>
      <c r="T177" s="43"/>
      <c r="V177" s="8"/>
      <c r="X177" s="72"/>
      <c r="Y177" s="9">
        <v>46112</v>
      </c>
      <c r="Z177" s="39">
        <f t="shared" si="40"/>
        <v>460659</v>
      </c>
      <c r="AA177" s="5">
        <v>461962</v>
      </c>
      <c r="AB177" s="10">
        <f>Table2691214203040547082981124812162024283248[[#This Row],[KM Final]]-Table2691214203040547082981124812162024283248[[#This Row],[KM Inicial]]</f>
        <v>1303</v>
      </c>
      <c r="AC177" s="5">
        <v>370</v>
      </c>
      <c r="AD177" s="11">
        <f>Table2691214203040547082981124812162024283248[[#This Row],[KM Rodado]]/Table2691214203040547082981124812162024283248[[#This Row],[Consumo Lt]]</f>
        <v>3.5216216216216214</v>
      </c>
      <c r="AE177" s="11">
        <v>19.59</v>
      </c>
      <c r="AF177" s="43">
        <v>2604.41</v>
      </c>
      <c r="AH177" s="8"/>
      <c r="AJ177" s="9"/>
      <c r="AK177" s="39"/>
      <c r="AL177" s="5"/>
      <c r="AM177" s="10"/>
      <c r="AN177" s="5"/>
      <c r="AO177" s="11"/>
      <c r="AP177" s="11"/>
      <c r="AQ177" s="43"/>
      <c r="AS177" s="8"/>
      <c r="AU177" s="72"/>
      <c r="AV177" s="9"/>
      <c r="AW177" s="15">
        <f t="shared" si="42"/>
        <v>492674</v>
      </c>
      <c r="AX177" s="5"/>
      <c r="AY177" s="10"/>
      <c r="AZ177" s="5"/>
      <c r="BA177" s="11"/>
      <c r="BB177" s="11"/>
      <c r="BC177" s="43"/>
      <c r="BE177" s="8"/>
      <c r="BG177" s="72"/>
      <c r="BH177" s="16"/>
      <c r="BI177" s="19">
        <f t="shared" si="43"/>
        <v>505706</v>
      </c>
      <c r="BJ177" s="10"/>
      <c r="BK177" s="10"/>
      <c r="BL177" s="10"/>
      <c r="BM177" s="11"/>
      <c r="BN177" s="18"/>
      <c r="BO177" s="12"/>
      <c r="BQ177" s="8"/>
    </row>
    <row r="178" spans="1:69">
      <c r="A178" s="72"/>
      <c r="B178" s="16"/>
      <c r="C178" s="10"/>
      <c r="D178" s="10"/>
      <c r="E178" s="10"/>
      <c r="F178" s="10"/>
      <c r="G178" s="11"/>
      <c r="H178" s="18"/>
      <c r="I178" s="12"/>
      <c r="K178" s="14"/>
      <c r="M178" s="9"/>
      <c r="N178" s="5"/>
      <c r="O178" s="5"/>
      <c r="P178" s="10"/>
      <c r="Q178" s="5"/>
      <c r="R178" s="11"/>
      <c r="S178" s="11"/>
      <c r="T178" s="43"/>
      <c r="V178" s="14"/>
      <c r="X178" s="72"/>
      <c r="Y178" s="9"/>
      <c r="Z178" s="15">
        <f t="shared" si="40"/>
        <v>461962</v>
      </c>
      <c r="AA178" s="5"/>
      <c r="AB178" s="10"/>
      <c r="AC178" s="5"/>
      <c r="AD178" s="11"/>
      <c r="AE178" s="11"/>
      <c r="AF178" s="43"/>
      <c r="AH178" s="14"/>
      <c r="AJ178" s="9"/>
      <c r="AK178" s="39"/>
      <c r="AL178" s="5"/>
      <c r="AM178" s="10"/>
      <c r="AN178" s="5"/>
      <c r="AO178" s="11"/>
      <c r="AP178" s="11"/>
      <c r="AQ178" s="43"/>
      <c r="AS178" s="14"/>
      <c r="AU178" s="72"/>
      <c r="AV178" s="9"/>
      <c r="AW178" s="39"/>
      <c r="AX178" s="5"/>
      <c r="AY178" s="10"/>
      <c r="AZ178" s="5"/>
      <c r="BA178" s="11"/>
      <c r="BB178" s="11"/>
      <c r="BC178" s="43"/>
      <c r="BE178" s="14"/>
      <c r="BG178" s="72"/>
      <c r="BH178" s="16"/>
      <c r="BI178" s="10"/>
      <c r="BJ178" s="10"/>
      <c r="BK178" s="10"/>
      <c r="BL178" s="10"/>
      <c r="BM178" s="11"/>
      <c r="BN178" s="18"/>
      <c r="BO178" s="12"/>
      <c r="BQ178" s="14"/>
    </row>
    <row r="179" spans="1:69">
      <c r="A179" s="72"/>
      <c r="B179" s="16"/>
      <c r="C179" s="19"/>
      <c r="D179" s="10"/>
      <c r="E179" s="10"/>
      <c r="F179" s="10"/>
      <c r="G179" s="11"/>
      <c r="H179" s="18"/>
      <c r="I179" s="12"/>
      <c r="K179" s="8"/>
      <c r="M179" s="9"/>
      <c r="N179" s="15"/>
      <c r="O179" s="5"/>
      <c r="P179" s="10"/>
      <c r="Q179" s="5"/>
      <c r="R179" s="11"/>
      <c r="S179" s="11"/>
      <c r="T179" s="43"/>
      <c r="V179" s="8"/>
      <c r="X179" s="72"/>
      <c r="Y179" s="9"/>
      <c r="Z179" s="15"/>
      <c r="AA179" s="5"/>
      <c r="AB179" s="10"/>
      <c r="AC179" s="5"/>
      <c r="AD179" s="11"/>
      <c r="AE179" s="11"/>
      <c r="AF179" s="43"/>
      <c r="AH179" s="8"/>
      <c r="AJ179" s="9"/>
      <c r="AK179" s="15"/>
      <c r="AL179" s="5"/>
      <c r="AM179" s="10"/>
      <c r="AN179" s="5"/>
      <c r="AO179" s="11"/>
      <c r="AP179" s="11"/>
      <c r="AQ179" s="43"/>
      <c r="AS179" s="8"/>
      <c r="AU179" s="72"/>
      <c r="AV179" s="9"/>
      <c r="AW179" s="15"/>
      <c r="AX179" s="5"/>
      <c r="AY179" s="10"/>
      <c r="AZ179" s="5"/>
      <c r="BA179" s="11"/>
      <c r="BB179" s="11"/>
      <c r="BC179" s="43"/>
      <c r="BE179" s="8"/>
      <c r="BG179" s="72"/>
      <c r="BH179" s="16"/>
      <c r="BI179" s="19"/>
      <c r="BJ179" s="10"/>
      <c r="BK179" s="10"/>
      <c r="BL179" s="10"/>
      <c r="BM179" s="11"/>
      <c r="BN179" s="18"/>
      <c r="BO179" s="12"/>
      <c r="BQ179" s="8"/>
    </row>
    <row r="180" spans="1:69">
      <c r="A180" s="72"/>
      <c r="B180" s="10"/>
      <c r="C180" s="19"/>
      <c r="D180" s="10"/>
      <c r="E180" s="10"/>
      <c r="F180" s="10"/>
      <c r="G180" s="11"/>
      <c r="H180" s="18"/>
      <c r="I180" s="12"/>
      <c r="K180" s="8"/>
      <c r="M180" s="5"/>
      <c r="N180" s="15"/>
      <c r="O180" s="5"/>
      <c r="P180" s="10"/>
      <c r="Q180" s="5"/>
      <c r="R180" s="11"/>
      <c r="S180" s="11"/>
      <c r="T180" s="43"/>
      <c r="V180" s="8"/>
      <c r="X180" s="72"/>
      <c r="Y180" s="5"/>
      <c r="Z180" s="15"/>
      <c r="AA180" s="5"/>
      <c r="AB180" s="10"/>
      <c r="AC180" s="5"/>
      <c r="AD180" s="11"/>
      <c r="AE180" s="11"/>
      <c r="AF180" s="43"/>
      <c r="AH180" s="8"/>
      <c r="AJ180" s="5"/>
      <c r="AK180" s="15"/>
      <c r="AL180" s="5"/>
      <c r="AM180" s="10"/>
      <c r="AN180" s="5"/>
      <c r="AO180" s="11"/>
      <c r="AP180" s="11"/>
      <c r="AQ180" s="43"/>
      <c r="AS180" s="8"/>
      <c r="AU180" s="72"/>
      <c r="AV180" s="5"/>
      <c r="AW180" s="15"/>
      <c r="AX180" s="5"/>
      <c r="AY180" s="10"/>
      <c r="AZ180" s="5"/>
      <c r="BA180" s="11"/>
      <c r="BB180" s="11"/>
      <c r="BC180" s="43"/>
      <c r="BE180" s="8"/>
      <c r="BG180" s="72"/>
      <c r="BH180" s="10"/>
      <c r="BI180" s="19"/>
      <c r="BJ180" s="10"/>
      <c r="BK180" s="10"/>
      <c r="BL180" s="10"/>
      <c r="BM180" s="11"/>
      <c r="BN180" s="18"/>
      <c r="BO180" s="12"/>
      <c r="BQ180" s="8"/>
    </row>
    <row r="181" spans="1:69">
      <c r="A181" s="72"/>
      <c r="B181" s="10"/>
      <c r="C181" s="19"/>
      <c r="D181" s="10"/>
      <c r="E181" s="10"/>
      <c r="F181" s="10"/>
      <c r="G181" s="11"/>
      <c r="H181" s="18"/>
      <c r="I181" s="12"/>
      <c r="K181" s="8"/>
      <c r="M181" s="5"/>
      <c r="N181" s="15"/>
      <c r="O181" s="5"/>
      <c r="P181" s="10"/>
      <c r="Q181" s="5"/>
      <c r="R181" s="11"/>
      <c r="S181" s="11"/>
      <c r="T181" s="43"/>
      <c r="V181" s="8"/>
      <c r="X181" s="72"/>
      <c r="Y181" s="5"/>
      <c r="Z181" s="15"/>
      <c r="AA181" s="5"/>
      <c r="AB181" s="10"/>
      <c r="AC181" s="5"/>
      <c r="AD181" s="11"/>
      <c r="AE181" s="11"/>
      <c r="AF181" s="43"/>
      <c r="AH181" s="8"/>
      <c r="AJ181" s="5"/>
      <c r="AK181" s="15"/>
      <c r="AL181" s="5"/>
      <c r="AM181" s="10"/>
      <c r="AN181" s="5"/>
      <c r="AO181" s="11"/>
      <c r="AP181" s="11"/>
      <c r="AQ181" s="43"/>
      <c r="AS181" s="8"/>
      <c r="AU181" s="72"/>
      <c r="AV181" s="5"/>
      <c r="AW181" s="15"/>
      <c r="AX181" s="5"/>
      <c r="AY181" s="10"/>
      <c r="AZ181" s="5"/>
      <c r="BA181" s="11"/>
      <c r="BB181" s="11"/>
      <c r="BC181" s="43"/>
      <c r="BE181" s="8"/>
      <c r="BG181" s="72"/>
      <c r="BH181" s="10"/>
      <c r="BI181" s="19"/>
      <c r="BJ181" s="10"/>
      <c r="BK181" s="10"/>
      <c r="BL181" s="10"/>
      <c r="BM181" s="11"/>
      <c r="BN181" s="18"/>
      <c r="BO181" s="12"/>
      <c r="BQ181" s="8"/>
    </row>
    <row r="182" spans="1:69">
      <c r="A182" s="72"/>
      <c r="B182" s="10"/>
      <c r="C182" s="19"/>
      <c r="D182" s="10"/>
      <c r="E182" s="10"/>
      <c r="F182" s="10"/>
      <c r="G182" s="11"/>
      <c r="H182" s="18"/>
      <c r="I182" s="12"/>
      <c r="K182" s="8"/>
      <c r="M182" s="5"/>
      <c r="N182" s="15"/>
      <c r="O182" s="5"/>
      <c r="P182" s="10"/>
      <c r="Q182" s="5"/>
      <c r="R182" s="11"/>
      <c r="S182" s="11"/>
      <c r="T182" s="43"/>
      <c r="V182" s="8"/>
      <c r="X182" s="72"/>
      <c r="Y182" s="5"/>
      <c r="Z182" s="15"/>
      <c r="AA182" s="5"/>
      <c r="AB182" s="10"/>
      <c r="AC182" s="5"/>
      <c r="AD182" s="11"/>
      <c r="AE182" s="11"/>
      <c r="AF182" s="43"/>
      <c r="AH182" s="8"/>
      <c r="AJ182" s="5"/>
      <c r="AK182" s="15"/>
      <c r="AL182" s="5"/>
      <c r="AM182" s="10"/>
      <c r="AN182" s="5"/>
      <c r="AO182" s="11"/>
      <c r="AP182" s="11"/>
      <c r="AQ182" s="43"/>
      <c r="AS182" s="8"/>
      <c r="AU182" s="72"/>
      <c r="AV182" s="5"/>
      <c r="AW182" s="15"/>
      <c r="AX182" s="5"/>
      <c r="AY182" s="10"/>
      <c r="AZ182" s="5"/>
      <c r="BA182" s="11"/>
      <c r="BB182" s="11"/>
      <c r="BC182" s="43"/>
      <c r="BE182" s="8"/>
      <c r="BG182" s="72"/>
      <c r="BH182" s="10"/>
      <c r="BI182" s="19"/>
      <c r="BJ182" s="10"/>
      <c r="BK182" s="10"/>
      <c r="BL182" s="10"/>
      <c r="BM182" s="11"/>
      <c r="BN182" s="18"/>
      <c r="BO182" s="12"/>
      <c r="BQ182" s="8"/>
    </row>
    <row r="183" spans="1:69">
      <c r="A183" s="72"/>
      <c r="B183" s="10"/>
      <c r="C183" s="19"/>
      <c r="D183" s="10"/>
      <c r="E183" s="10"/>
      <c r="F183" s="10"/>
      <c r="G183" s="11"/>
      <c r="H183" s="18"/>
      <c r="I183" s="12"/>
      <c r="K183" s="8"/>
      <c r="M183" s="5"/>
      <c r="N183" s="15"/>
      <c r="O183" s="5"/>
      <c r="P183" s="10"/>
      <c r="Q183" s="5"/>
      <c r="R183" s="11"/>
      <c r="S183" s="11"/>
      <c r="T183" s="43"/>
      <c r="V183" s="8"/>
      <c r="X183" s="72"/>
      <c r="Y183" s="5"/>
      <c r="Z183" s="15"/>
      <c r="AA183" s="5"/>
      <c r="AB183" s="10"/>
      <c r="AC183" s="5"/>
      <c r="AD183" s="11"/>
      <c r="AE183" s="11"/>
      <c r="AF183" s="43"/>
      <c r="AH183" s="8"/>
      <c r="AJ183" s="5"/>
      <c r="AK183" s="15"/>
      <c r="AL183" s="5"/>
      <c r="AM183" s="10"/>
      <c r="AN183" s="5"/>
      <c r="AO183" s="11"/>
      <c r="AP183" s="11"/>
      <c r="AQ183" s="43"/>
      <c r="AS183" s="8"/>
      <c r="AU183" s="72"/>
      <c r="AV183" s="5"/>
      <c r="AW183" s="15"/>
      <c r="AX183" s="5"/>
      <c r="AY183" s="10"/>
      <c r="AZ183" s="5"/>
      <c r="BA183" s="11"/>
      <c r="BB183" s="11"/>
      <c r="BC183" s="43"/>
      <c r="BE183" s="8"/>
      <c r="BG183" s="72"/>
      <c r="BH183" s="10"/>
      <c r="BI183" s="19"/>
      <c r="BJ183" s="10"/>
      <c r="BK183" s="10"/>
      <c r="BL183" s="10"/>
      <c r="BM183" s="11"/>
      <c r="BN183" s="18"/>
      <c r="BO183" s="12"/>
      <c r="BQ183" s="8"/>
    </row>
    <row r="184" spans="1:69">
      <c r="A184" s="72"/>
      <c r="B184" s="20"/>
      <c r="C184" s="20"/>
      <c r="D184" s="25"/>
      <c r="E184" s="25">
        <f>SUM(E167:E183)</f>
        <v>13350</v>
      </c>
      <c r="F184" s="25">
        <f>SUM(F167:F183)</f>
        <v>3833.0209999999997</v>
      </c>
      <c r="G184" s="29">
        <f>Table2691214203040547082981126101418222630[[#This Row],[KM Rodado]]/Table2691214203040547082981126101418222630[[#This Row],[Consumo Lt]]</f>
        <v>3.4828924756738879</v>
      </c>
      <c r="H184" s="20"/>
      <c r="I184" s="26">
        <f>SUM(I167:I183)</f>
        <v>21624.639999999999</v>
      </c>
      <c r="J184" s="21" t="s">
        <v>10</v>
      </c>
      <c r="K184" s="21">
        <f>SUM(K167:K183)</f>
        <v>2427.13</v>
      </c>
      <c r="M184" s="22"/>
      <c r="N184" s="22"/>
      <c r="O184" s="23"/>
      <c r="P184" s="23">
        <f>SUM(P167:P183)</f>
        <v>13920</v>
      </c>
      <c r="Q184" s="23">
        <f>SUM(Q167:Q183)</f>
        <v>4029</v>
      </c>
      <c r="R184" s="30">
        <f>Table26912142030405470829811248121620242832[[#This Row],[KM Rodado]]/Table26912142030405470829811248121620242832[[#This Row],[Consumo Lt]]</f>
        <v>3.4549516008935219</v>
      </c>
      <c r="S184" s="30">
        <f>SUM(S167:S183)</f>
        <v>239.39</v>
      </c>
      <c r="T184" s="45">
        <f>SUM(T167:T183)</f>
        <v>22753.010000000002</v>
      </c>
      <c r="U184" s="21" t="s">
        <v>10</v>
      </c>
      <c r="V184" s="21">
        <f>SUM(V167:V183)</f>
        <v>2714</v>
      </c>
      <c r="X184" s="72"/>
      <c r="Y184" s="22"/>
      <c r="Z184" s="22"/>
      <c r="AA184" s="23"/>
      <c r="AB184" s="23">
        <f>SUM(AB167:AB183)</f>
        <v>16023</v>
      </c>
      <c r="AC184" s="23">
        <f>SUM(AC167:AC183)</f>
        <v>4662</v>
      </c>
      <c r="AD184" s="30">
        <f>Table2691214203040547082981124812162024283248[[#This Row],[KM Rodado]]/Table2691214203040547082981124812162024283248[[#This Row],[Consumo Lt]]</f>
        <v>3.4369369369369371</v>
      </c>
      <c r="AE184" s="30">
        <f>SUM(AE167:AE183)</f>
        <v>150.59</v>
      </c>
      <c r="AF184" s="45">
        <f>SUM(AF167:AF183)</f>
        <v>29691.74</v>
      </c>
      <c r="AG184" s="21" t="s">
        <v>10</v>
      </c>
      <c r="AH184" s="21">
        <f>SUM(AH167:AH183)</f>
        <v>2416</v>
      </c>
      <c r="AJ184" s="22"/>
      <c r="AK184" s="22"/>
      <c r="AL184" s="23"/>
      <c r="AM184" s="23">
        <f>SUM(AM167:AM183)</f>
        <v>15241</v>
      </c>
      <c r="AN184" s="23">
        <f>SUM(AN167:AN183)</f>
        <v>4542</v>
      </c>
      <c r="AO184" s="28">
        <f>Table269121420304054708298112481216202428324880[[#This Row],[KM Rodado]]/Table269121420304054708298112481216202428324880[[#This Row],[Consumo Lt]]</f>
        <v>3.3555702333773669</v>
      </c>
      <c r="AP184" s="30">
        <f>SUM(AP167:AP183)</f>
        <v>94.13</v>
      </c>
      <c r="AQ184" s="45">
        <f>SUM(AQ167:AQ183)</f>
        <v>31351.439999999999</v>
      </c>
      <c r="AR184" s="21" t="s">
        <v>10</v>
      </c>
      <c r="AS184" s="21">
        <f>SUM(AS167:AS183)</f>
        <v>3432</v>
      </c>
      <c r="AU184" s="72"/>
      <c r="AV184" s="22"/>
      <c r="AW184" s="22"/>
      <c r="AX184" s="23"/>
      <c r="AY184" s="23">
        <f>AW177-AW167</f>
        <v>15471</v>
      </c>
      <c r="AZ184" s="23">
        <f>SUM(AZ167:AZ183)</f>
        <v>4868</v>
      </c>
      <c r="BA184" s="28">
        <f>Table269121420304054708298112481216202428324880144[[#This Row],[KM Rodado]]/Table269121420304054708298112481216202428324880144[[#This Row],[Consumo Lt]]</f>
        <v>3.1781018898931799</v>
      </c>
      <c r="BB184" s="30">
        <f>SUM(BB167:BB183)</f>
        <v>6</v>
      </c>
      <c r="BC184" s="45">
        <f>SUM(BC167:BC183)</f>
        <v>31836.399999999994</v>
      </c>
      <c r="BD184" s="21" t="s">
        <v>10</v>
      </c>
      <c r="BE184" s="21">
        <f>SUM(BE167:BE183)</f>
        <v>2944</v>
      </c>
      <c r="BG184" s="72"/>
      <c r="BH184" s="20"/>
      <c r="BI184" s="20"/>
      <c r="BJ184" s="25"/>
      <c r="BK184" s="25">
        <f>BI177-BI167</f>
        <v>13032</v>
      </c>
      <c r="BL184" s="25">
        <f>SUM(BL167:BL183)</f>
        <v>3909</v>
      </c>
      <c r="BM184" s="29">
        <f>Table269121420304054708298112610141822263084[[#This Row],[KM Rodado]]/Table269121420304054708298112610141822263084[[#This Row],[Consumo Lt]]</f>
        <v>3.3338449731389104</v>
      </c>
      <c r="BN184" s="25">
        <f>SUM(BN167:BN183)</f>
        <v>19</v>
      </c>
      <c r="BO184" s="26">
        <f>SUM(BO167:BO183)</f>
        <v>24719.22</v>
      </c>
      <c r="BP184" s="21" t="s">
        <v>10</v>
      </c>
      <c r="BQ184" s="21">
        <f>SUM(BQ167:BQ183)</f>
        <v>7548</v>
      </c>
    </row>
    <row r="187" spans="1:69" ht="36">
      <c r="BH187" s="71">
        <v>46174</v>
      </c>
      <c r="BI187" s="71"/>
      <c r="BJ187" s="71"/>
      <c r="BK187" s="71"/>
      <c r="BL187" s="71"/>
      <c r="BM187" s="71"/>
      <c r="BN187" s="71"/>
      <c r="BO187" s="71"/>
      <c r="BP187" s="71"/>
    </row>
    <row r="188" spans="1:69" ht="15" customHeight="1">
      <c r="AU188" s="1" t="s">
        <v>11</v>
      </c>
      <c r="AV188" s="1" t="s">
        <v>0</v>
      </c>
      <c r="AW188" s="1" t="s">
        <v>1</v>
      </c>
      <c r="AX188" s="1" t="s">
        <v>2</v>
      </c>
      <c r="AY188" s="1" t="s">
        <v>3</v>
      </c>
      <c r="AZ188" s="1" t="s">
        <v>4</v>
      </c>
      <c r="BA188" s="1" t="s">
        <v>5</v>
      </c>
      <c r="BB188" s="17" t="s">
        <v>21</v>
      </c>
      <c r="BC188" s="2" t="s">
        <v>6</v>
      </c>
      <c r="BD188" s="3" t="s">
        <v>7</v>
      </c>
      <c r="BE188" s="4" t="s">
        <v>6</v>
      </c>
      <c r="BG188" s="1" t="s">
        <v>11</v>
      </c>
      <c r="BH188" s="1" t="s">
        <v>0</v>
      </c>
      <c r="BI188" s="1" t="s">
        <v>1</v>
      </c>
      <c r="BJ188" s="1" t="s">
        <v>2</v>
      </c>
      <c r="BK188" s="1" t="s">
        <v>3</v>
      </c>
      <c r="BL188" s="1" t="s">
        <v>4</v>
      </c>
      <c r="BM188" s="1" t="s">
        <v>5</v>
      </c>
      <c r="BN188" s="17" t="s">
        <v>21</v>
      </c>
      <c r="BO188" s="2" t="s">
        <v>6</v>
      </c>
      <c r="BP188" s="3" t="s">
        <v>7</v>
      </c>
      <c r="BQ188" s="4" t="s">
        <v>6</v>
      </c>
    </row>
    <row r="189" spans="1:69">
      <c r="AU189" s="72" t="s">
        <v>99</v>
      </c>
      <c r="AV189" s="16">
        <v>46148</v>
      </c>
      <c r="AW189" s="39">
        <v>0</v>
      </c>
      <c r="AX189" s="10">
        <v>372</v>
      </c>
      <c r="AY189" s="10">
        <f>Table26912142030405470829811248121620242832488014446[[#This Row],[KM Final]]-Table26912142030405470829811248121620242832488014446[[#This Row],[KM Inicial]]</f>
        <v>372</v>
      </c>
      <c r="AZ189" s="10">
        <v>96.23</v>
      </c>
      <c r="BA189" s="11">
        <f>Table26912142030405470829811248121620242832488014446[[#This Row],[KM Rodado]]/Table26912142030405470829811248121620242832488014446[[#This Row],[Consumo Lt]]</f>
        <v>3.8657383352384911</v>
      </c>
      <c r="BB189" s="11"/>
      <c r="BC189" s="41">
        <v>672.68</v>
      </c>
      <c r="BD189" t="s">
        <v>100</v>
      </c>
      <c r="BE189" s="8">
        <v>35</v>
      </c>
      <c r="BG189" s="72" t="s">
        <v>99</v>
      </c>
      <c r="BH189" s="16">
        <v>46177</v>
      </c>
      <c r="BI189" s="10">
        <v>6564</v>
      </c>
      <c r="BJ189" s="10"/>
      <c r="BK189" s="10"/>
      <c r="BL189" s="10">
        <v>126.761</v>
      </c>
      <c r="BM189" s="11"/>
      <c r="BN189" s="18">
        <v>16.571999999999999</v>
      </c>
      <c r="BO189" s="12">
        <v>887.33</v>
      </c>
      <c r="BP189" t="s">
        <v>8</v>
      </c>
      <c r="BQ189" s="8">
        <v>504</v>
      </c>
    </row>
    <row r="190" spans="1:69" ht="15" customHeight="1">
      <c r="AU190" s="72"/>
      <c r="AV190" s="16">
        <v>46150</v>
      </c>
      <c r="AW190" s="10">
        <f t="shared" ref="AW190:AW203" si="44">AX189</f>
        <v>372</v>
      </c>
      <c r="AX190" s="10">
        <v>903</v>
      </c>
      <c r="AY190" s="10">
        <f>Table26912142030405470829811248121620242832488014446[[#This Row],[KM Final]]-Table26912142030405470829811248121620242832488014446[[#This Row],[KM Inicial]]</f>
        <v>531</v>
      </c>
      <c r="AZ190" s="10">
        <v>89.45</v>
      </c>
      <c r="BA190" s="11">
        <f>Table26912142030405470829811248121620242832488014446[[#This Row],[KM Rodado]]/Table26912142030405470829811248121620242832488014446[[#This Row],[Consumo Lt]]</f>
        <v>5.9362772498602565</v>
      </c>
      <c r="BB190" s="11">
        <v>7.14</v>
      </c>
      <c r="BC190" s="42">
        <v>609.79999999999995</v>
      </c>
      <c r="BD190" t="s">
        <v>101</v>
      </c>
      <c r="BE190" s="8">
        <v>210</v>
      </c>
      <c r="BG190" s="72"/>
      <c r="BH190" s="16">
        <v>46179</v>
      </c>
      <c r="BI190" s="10"/>
      <c r="BJ190" s="10"/>
      <c r="BK190" s="10"/>
      <c r="BL190" s="10">
        <v>129.80000000000001</v>
      </c>
      <c r="BM190" s="11"/>
      <c r="BN190" s="18"/>
      <c r="BO190" s="12">
        <v>868.85</v>
      </c>
      <c r="BP190" t="s">
        <v>20</v>
      </c>
      <c r="BQ190" s="8">
        <v>300</v>
      </c>
    </row>
    <row r="191" spans="1:69">
      <c r="AU191" s="72"/>
      <c r="AV191" s="16">
        <v>46153</v>
      </c>
      <c r="AW191" s="10">
        <f t="shared" si="44"/>
        <v>903</v>
      </c>
      <c r="AX191" s="10">
        <v>1438</v>
      </c>
      <c r="AY191" s="10">
        <f>Table26912142030405470829811248121620242832488014446[[#This Row],[KM Final]]-Table26912142030405470829811248121620242832488014446[[#This Row],[KM Inicial]]</f>
        <v>535</v>
      </c>
      <c r="AZ191" s="10">
        <v>94</v>
      </c>
      <c r="BA191" s="11">
        <f>Table26912142030405470829811248121620242832488014446[[#This Row],[KM Rodado]]/Table26912142030405470829811248121620242832488014446[[#This Row],[Consumo Lt]]</f>
        <v>5.6914893617021276</v>
      </c>
      <c r="BB191" s="11"/>
      <c r="BC191" s="42">
        <v>628.89</v>
      </c>
      <c r="BD191" t="s">
        <v>102</v>
      </c>
      <c r="BE191" s="8">
        <v>105</v>
      </c>
      <c r="BG191" s="72"/>
      <c r="BH191" s="16">
        <v>46182</v>
      </c>
      <c r="BI191" s="10"/>
      <c r="BJ191" s="10"/>
      <c r="BK191" s="10"/>
      <c r="BL191" s="10">
        <v>75.28</v>
      </c>
      <c r="BM191" s="11"/>
      <c r="BN191" s="18">
        <v>11.78</v>
      </c>
      <c r="BO191" s="12">
        <v>559.99</v>
      </c>
      <c r="BP191" t="s">
        <v>120</v>
      </c>
      <c r="BQ191" s="8">
        <v>2355</v>
      </c>
    </row>
    <row r="192" spans="1:69">
      <c r="AU192" s="72"/>
      <c r="AV192" s="9">
        <v>46153</v>
      </c>
      <c r="AW192" s="10">
        <f t="shared" si="44"/>
        <v>1438</v>
      </c>
      <c r="AX192" s="5">
        <v>1829</v>
      </c>
      <c r="AY192" s="10">
        <f>Table26912142030405470829811248121620242832488014446[[#This Row],[KM Final]]-Table26912142030405470829811248121620242832488014446[[#This Row],[KM Inicial]]</f>
        <v>391</v>
      </c>
      <c r="AZ192" s="5">
        <v>60</v>
      </c>
      <c r="BA192" s="11">
        <f>Table26912142030405470829811248121620242832488014446[[#This Row],[KM Rodado]]/Table26912142030405470829811248121620242832488014446[[#This Row],[Consumo Lt]]</f>
        <v>6.5166666666666666</v>
      </c>
      <c r="BB192" s="11"/>
      <c r="BC192" s="43">
        <v>392.4</v>
      </c>
      <c r="BE192" s="14"/>
      <c r="BG192" s="72"/>
      <c r="BH192" s="16">
        <v>46184</v>
      </c>
      <c r="BI192" s="10"/>
      <c r="BJ192" s="10"/>
      <c r="BK192" s="10"/>
      <c r="BL192" s="10">
        <v>119.77</v>
      </c>
      <c r="BM192" s="11"/>
      <c r="BN192" s="18"/>
      <c r="BO192" s="12">
        <v>748.61</v>
      </c>
      <c r="BQ192" s="14"/>
    </row>
    <row r="193" spans="47:69">
      <c r="AU193" s="72"/>
      <c r="AV193" s="9">
        <v>46154</v>
      </c>
      <c r="AW193" s="10">
        <f t="shared" si="44"/>
        <v>1829</v>
      </c>
      <c r="AX193" s="5">
        <v>2395</v>
      </c>
      <c r="AY193" s="10">
        <f>Table26912142030405470829811248121620242832488014446[[#This Row],[KM Final]]-Table26912142030405470829811248121620242832488014446[[#This Row],[KM Inicial]]</f>
        <v>566</v>
      </c>
      <c r="AZ193" s="5">
        <v>102</v>
      </c>
      <c r="BA193" s="11">
        <f>Table26912142030405470829811248121620242832488014446[[#This Row],[KM Rodado]]/Table26912142030405470829811248121620242832488014446[[#This Row],[Consumo Lt]]</f>
        <v>5.5490196078431371</v>
      </c>
      <c r="BB193" s="11">
        <v>13.78</v>
      </c>
      <c r="BC193" s="43">
        <v>704.21</v>
      </c>
      <c r="BE193" s="8"/>
      <c r="BG193" s="72"/>
      <c r="BH193" s="16">
        <v>46185</v>
      </c>
      <c r="BI193" s="10"/>
      <c r="BJ193" s="10"/>
      <c r="BK193" s="10"/>
      <c r="BL193" s="10">
        <v>86.95</v>
      </c>
      <c r="BM193" s="11"/>
      <c r="BN193" s="18">
        <v>12.34</v>
      </c>
      <c r="BO193" s="12">
        <v>590.9</v>
      </c>
      <c r="BQ193" s="8"/>
    </row>
    <row r="194" spans="47:69">
      <c r="AU194" s="72"/>
      <c r="AV194" s="9">
        <v>46156</v>
      </c>
      <c r="AW194" s="10">
        <f t="shared" si="44"/>
        <v>2395</v>
      </c>
      <c r="AX194" s="5">
        <v>2780</v>
      </c>
      <c r="AY194" s="10">
        <f>Table26912142030405470829811248121620242832488014446[[#This Row],[KM Final]]-Table26912142030405470829811248121620242832488014446[[#This Row],[KM Inicial]]</f>
        <v>385</v>
      </c>
      <c r="AZ194" s="5">
        <v>67.010000000000005</v>
      </c>
      <c r="BA194" s="11">
        <f>Table26912142030405470829811248121620242832488014446[[#This Row],[KM Rodado]]/Table26912142030405470829811248121620242832488014446[[#This Row],[Consumo Lt]]</f>
        <v>5.7454111326667654</v>
      </c>
      <c r="BB194" s="11"/>
      <c r="BC194" s="43">
        <v>438.2</v>
      </c>
      <c r="BE194" s="8"/>
      <c r="BG194" s="72"/>
      <c r="BH194" s="16">
        <v>46186</v>
      </c>
      <c r="BI194" s="10"/>
      <c r="BJ194" s="10">
        <v>10515</v>
      </c>
      <c r="BK194" s="10"/>
      <c r="BL194" s="10">
        <v>85</v>
      </c>
      <c r="BM194" s="11"/>
      <c r="BN194" s="18">
        <v>4.24</v>
      </c>
      <c r="BO194" s="12">
        <v>571.98</v>
      </c>
      <c r="BQ194" s="8"/>
    </row>
    <row r="195" spans="47:69">
      <c r="AU195" s="72"/>
      <c r="AV195" s="9">
        <v>46163</v>
      </c>
      <c r="AW195" s="10">
        <f t="shared" si="44"/>
        <v>2780</v>
      </c>
      <c r="AX195" s="5">
        <v>3481</v>
      </c>
      <c r="AY195" s="10">
        <f>Table26912142030405470829811248121620242832488014446[[#This Row],[KM Final]]-Table26912142030405470829811248121620242832488014446[[#This Row],[KM Inicial]]</f>
        <v>701</v>
      </c>
      <c r="AZ195" s="5">
        <v>30</v>
      </c>
      <c r="BA195" s="11">
        <f>Table26912142030405470829811248121620242832488014446[[#This Row],[KM Rodado]]/Table26912142030405470829811248121620242832488014446[[#This Row],[Consumo Lt]]</f>
        <v>23.366666666666667</v>
      </c>
      <c r="BB195" s="11"/>
      <c r="BC195" s="43">
        <v>236.1</v>
      </c>
      <c r="BE195" s="8"/>
      <c r="BG195" s="72"/>
      <c r="BH195" s="16">
        <v>46189</v>
      </c>
      <c r="BI195" s="10"/>
      <c r="BJ195" s="10"/>
      <c r="BK195" s="10"/>
      <c r="BL195" s="10">
        <v>125.26</v>
      </c>
      <c r="BM195" s="11"/>
      <c r="BN195" s="18">
        <v>8.8119999999999994</v>
      </c>
      <c r="BO195" s="12">
        <v>851.94</v>
      </c>
      <c r="BQ195" s="8"/>
    </row>
    <row r="196" spans="47:69">
      <c r="AU196" s="72"/>
      <c r="AV196" s="9">
        <v>46163</v>
      </c>
      <c r="AW196" s="39">
        <f t="shared" si="44"/>
        <v>3481</v>
      </c>
      <c r="AX196" s="5">
        <v>3671</v>
      </c>
      <c r="AY196" s="10">
        <f>Table26912142030405470829811248121620242832488014446[[#This Row],[KM Final]]-Table26912142030405470829811248121620242832488014446[[#This Row],[KM Inicial]]</f>
        <v>190</v>
      </c>
      <c r="AZ196" s="5">
        <v>120.74</v>
      </c>
      <c r="BA196" s="11">
        <f>Table26912142030405470829811248121620242832488014446[[#This Row],[KM Rodado]]/Table26912142030405470829811248121620242832488014446[[#This Row],[Consumo Lt]]</f>
        <v>1.5736292860692398</v>
      </c>
      <c r="BB196" s="11">
        <v>12.35</v>
      </c>
      <c r="BC196" s="43">
        <v>836.14</v>
      </c>
      <c r="BE196" s="8"/>
      <c r="BG196" s="72"/>
      <c r="BH196" s="16">
        <v>46190</v>
      </c>
      <c r="BI196" s="10"/>
      <c r="BJ196" s="10"/>
      <c r="BK196" s="10"/>
      <c r="BL196" s="10">
        <v>117.47</v>
      </c>
      <c r="BM196" s="31"/>
      <c r="BN196" s="18">
        <v>6.4820000000000002</v>
      </c>
      <c r="BO196" s="12">
        <v>780.46</v>
      </c>
      <c r="BQ196" s="8"/>
    </row>
    <row r="197" spans="47:69">
      <c r="AU197" s="72"/>
      <c r="AV197" s="9">
        <v>46163</v>
      </c>
      <c r="AW197" s="39">
        <f t="shared" si="44"/>
        <v>3671</v>
      </c>
      <c r="AX197" s="5">
        <v>4074</v>
      </c>
      <c r="AY197" s="10">
        <f>Table26912142030405470829811248121620242832488014446[[#This Row],[KM Final]]-Table26912142030405470829811248121620242832488014446[[#This Row],[KM Inicial]]</f>
        <v>403</v>
      </c>
      <c r="AZ197" s="5">
        <v>65.09</v>
      </c>
      <c r="BA197" s="11">
        <f>Table26912142030405470829811248121620242832488014446[[#This Row],[KM Rodado]]/Table26912142030405470829811248121620242832488014446[[#This Row],[Consumo Lt]]</f>
        <v>6.191427254570594</v>
      </c>
      <c r="BB197" s="11"/>
      <c r="BC197" s="43">
        <v>425.69</v>
      </c>
      <c r="BE197" s="8"/>
      <c r="BG197" s="72"/>
      <c r="BH197" s="16">
        <v>46191</v>
      </c>
      <c r="BI197" s="10"/>
      <c r="BJ197" s="10"/>
      <c r="BK197" s="10"/>
      <c r="BL197" s="10">
        <v>96.921000000000006</v>
      </c>
      <c r="BM197" s="11"/>
      <c r="BN197" s="18">
        <v>7.1740000000000004</v>
      </c>
      <c r="BO197" s="12">
        <v>649.02</v>
      </c>
      <c r="BQ197" s="8"/>
    </row>
    <row r="198" spans="47:69">
      <c r="AU198" s="72"/>
      <c r="AV198" s="9">
        <v>46164</v>
      </c>
      <c r="AW198" s="39">
        <f t="shared" si="44"/>
        <v>4074</v>
      </c>
      <c r="AX198" s="5">
        <v>4659</v>
      </c>
      <c r="AY198" s="10">
        <f>Table26912142030405470829811248121620242832488014446[[#This Row],[KM Final]]-Table26912142030405470829811248121620242832488014446[[#This Row],[KM Inicial]]</f>
        <v>585</v>
      </c>
      <c r="AZ198" s="5">
        <v>88</v>
      </c>
      <c r="BA198" s="11">
        <f>Table26912142030405470829811248121620242832488014446[[#This Row],[KM Rodado]]/Table26912142030405470829811248121620242832488014446[[#This Row],[Consumo Lt]]</f>
        <v>6.6477272727272725</v>
      </c>
      <c r="BB198" s="11"/>
      <c r="BC198" s="43">
        <v>575.52</v>
      </c>
      <c r="BE198" s="8"/>
      <c r="BG198" s="72"/>
      <c r="BH198" s="16">
        <v>46192</v>
      </c>
      <c r="BI198" s="10"/>
      <c r="BJ198" s="10"/>
      <c r="BK198" s="10"/>
      <c r="BL198" s="10">
        <v>90.55</v>
      </c>
      <c r="BM198" s="11"/>
      <c r="BN198" s="18">
        <v>5.0119999999999996</v>
      </c>
      <c r="BO198" s="12">
        <v>601.64</v>
      </c>
      <c r="BQ198" s="8"/>
    </row>
    <row r="199" spans="47:69">
      <c r="AU199" s="72"/>
      <c r="AV199" s="9">
        <v>46164</v>
      </c>
      <c r="AW199" s="39">
        <f t="shared" si="44"/>
        <v>4659</v>
      </c>
      <c r="AX199" s="5">
        <v>4972</v>
      </c>
      <c r="AY199" s="10">
        <f>Table26912142030405470829811248121620242832488014446[[#This Row],[KM Final]]-Table26912142030405470829811248121620242832488014446[[#This Row],[KM Inicial]]</f>
        <v>313</v>
      </c>
      <c r="AZ199" s="5">
        <v>54.35</v>
      </c>
      <c r="BA199" s="11">
        <f>Table26912142030405470829811248121620242832488014446[[#This Row],[KM Rodado]]/Table26912142030405470829811248121620242832488014446[[#This Row],[Consumo Lt]]</f>
        <v>5.7589696412143514</v>
      </c>
      <c r="BB199" s="11"/>
      <c r="BC199" s="43">
        <v>350.03</v>
      </c>
      <c r="BE199" s="8"/>
      <c r="BG199" s="72"/>
      <c r="BH199" s="16">
        <v>46193</v>
      </c>
      <c r="BI199" s="10"/>
      <c r="BJ199" s="10"/>
      <c r="BK199" s="10"/>
      <c r="BL199" s="10">
        <v>97.37</v>
      </c>
      <c r="BM199" s="11"/>
      <c r="BN199" s="18">
        <v>5.0119999999999996</v>
      </c>
      <c r="BO199" s="12">
        <v>645.91</v>
      </c>
      <c r="BQ199" s="8"/>
    </row>
    <row r="200" spans="47:69">
      <c r="AU200" s="72"/>
      <c r="AV200" s="9">
        <v>46164</v>
      </c>
      <c r="AW200" s="39">
        <f t="shared" si="44"/>
        <v>4972</v>
      </c>
      <c r="AX200" s="5">
        <v>5470</v>
      </c>
      <c r="AY200" s="10">
        <f>Table26912142030405470829811248121620242832488014446[[#This Row],[KM Final]]-Table26912142030405470829811248121620242832488014446[[#This Row],[KM Inicial]]</f>
        <v>498</v>
      </c>
      <c r="AZ200" s="5">
        <v>88.31</v>
      </c>
      <c r="BA200" s="11">
        <f>Table26912142030405470829811248121620242832488014446[[#This Row],[KM Rodado]]/Table26912142030405470829811248121620242832488014446[[#This Row],[Consumo Lt]]</f>
        <v>5.6392254557807719</v>
      </c>
      <c r="BB200" s="11">
        <v>19.25</v>
      </c>
      <c r="BC200" s="43">
        <v>635.12</v>
      </c>
      <c r="BE200" s="14"/>
      <c r="BG200" s="72"/>
      <c r="BH200" s="16">
        <v>46194</v>
      </c>
      <c r="BI200" s="10"/>
      <c r="BJ200" s="10"/>
      <c r="BK200" s="10"/>
      <c r="BL200" s="10">
        <v>110.46</v>
      </c>
      <c r="BM200" s="11"/>
      <c r="BN200" s="18">
        <v>6.3920000000000003</v>
      </c>
      <c r="BO200" s="12">
        <v>768.49</v>
      </c>
      <c r="BQ200" s="14"/>
    </row>
    <row r="201" spans="47:69">
      <c r="AU201" s="72"/>
      <c r="AV201" s="9">
        <v>46165</v>
      </c>
      <c r="AW201" s="39">
        <f t="shared" si="44"/>
        <v>5470</v>
      </c>
      <c r="AX201" s="5">
        <v>6014</v>
      </c>
      <c r="AY201" s="10">
        <f>Table26912142030405470829811248121620242832488014446[[#This Row],[KM Final]]-Table26912142030405470829811248121620242832488014446[[#This Row],[KM Inicial]]</f>
        <v>544</v>
      </c>
      <c r="AZ201" s="5">
        <v>100.93</v>
      </c>
      <c r="BA201" s="11">
        <f>Table26912142030405470829811248121620242832488014446[[#This Row],[KM Rodado]]/Table26912142030405470829811248121620242832488014446[[#This Row],[Consumo Lt]]</f>
        <v>5.3898741702169817</v>
      </c>
      <c r="BB201" s="11"/>
      <c r="BC201" s="43">
        <v>650</v>
      </c>
      <c r="BE201" s="8"/>
      <c r="BG201" s="72"/>
      <c r="BH201" s="16">
        <v>46196</v>
      </c>
      <c r="BI201" s="10"/>
      <c r="BJ201" s="10"/>
      <c r="BK201" s="10"/>
      <c r="BL201" s="10">
        <v>30.812999999999999</v>
      </c>
      <c r="BM201" s="11"/>
      <c r="BN201" s="18"/>
      <c r="BO201" s="12">
        <v>200</v>
      </c>
      <c r="BQ201" s="8"/>
    </row>
    <row r="202" spans="47:69">
      <c r="AU202" s="72"/>
      <c r="AV202" s="9">
        <v>46166</v>
      </c>
      <c r="AW202" s="39">
        <f t="shared" si="44"/>
        <v>6014</v>
      </c>
      <c r="AX202" s="5">
        <v>6564</v>
      </c>
      <c r="AY202" s="10">
        <f>Table26912142030405470829811248121620242832488014446[[#This Row],[KM Final]]-Table26912142030405470829811248121620242832488014446[[#This Row],[KM Inicial]]</f>
        <v>550</v>
      </c>
      <c r="AZ202" s="5">
        <v>91.53</v>
      </c>
      <c r="BA202" s="11">
        <f>Table26912142030405470829811248121620242832488014446[[#This Row],[KM Rodado]]/Table26912142030405470829811248121620242832488014446[[#This Row],[Consumo Lt]]</f>
        <v>6.0089588113186929</v>
      </c>
      <c r="BB202" s="11"/>
      <c r="BC202" s="43">
        <v>612.38</v>
      </c>
      <c r="BE202" s="8"/>
      <c r="BG202" s="72"/>
      <c r="BH202" s="16">
        <v>46196</v>
      </c>
      <c r="BI202" s="10"/>
      <c r="BJ202" s="10"/>
      <c r="BK202" s="10"/>
      <c r="BL202" s="10">
        <v>114.74</v>
      </c>
      <c r="BM202" s="11"/>
      <c r="BN202" s="18">
        <v>11.734</v>
      </c>
      <c r="BO202" s="12">
        <v>777.39</v>
      </c>
      <c r="BQ202" s="8"/>
    </row>
    <row r="203" spans="47:69">
      <c r="AU203" s="72"/>
      <c r="AV203" s="9">
        <v>46168</v>
      </c>
      <c r="AW203" s="15">
        <f t="shared" si="44"/>
        <v>6564</v>
      </c>
      <c r="AX203" s="5"/>
      <c r="AY203" s="10"/>
      <c r="AZ203" s="5"/>
      <c r="BA203" s="11"/>
      <c r="BB203" s="11"/>
      <c r="BC203" s="43"/>
      <c r="BE203" s="8"/>
      <c r="BG203" s="72"/>
      <c r="BH203" s="16">
        <v>46197</v>
      </c>
      <c r="BI203" s="10"/>
      <c r="BJ203" s="10">
        <v>16393</v>
      </c>
      <c r="BK203" s="10"/>
      <c r="BL203" s="10">
        <v>119.14100000000001</v>
      </c>
      <c r="BM203" s="11"/>
      <c r="BN203" s="18">
        <v>6.17</v>
      </c>
      <c r="BO203" s="12">
        <v>801.33</v>
      </c>
      <c r="BQ203" s="8"/>
    </row>
    <row r="204" spans="47:69">
      <c r="AU204" s="72"/>
      <c r="AV204" s="5"/>
      <c r="AW204" s="39"/>
      <c r="AX204" s="5"/>
      <c r="AY204" s="10"/>
      <c r="AZ204" s="5"/>
      <c r="BA204" s="11"/>
      <c r="BB204" s="11"/>
      <c r="BC204" s="43"/>
      <c r="BE204" s="8"/>
      <c r="BG204" s="72"/>
      <c r="BH204" s="16">
        <v>46198</v>
      </c>
      <c r="BI204" s="10"/>
      <c r="BJ204" s="10">
        <v>16915</v>
      </c>
      <c r="BK204" s="10"/>
      <c r="BL204" s="10">
        <v>74</v>
      </c>
      <c r="BM204" s="11"/>
      <c r="BN204" s="18">
        <v>6.5919999999999996</v>
      </c>
      <c r="BO204" s="12">
        <v>498.65</v>
      </c>
      <c r="BQ204" s="8"/>
    </row>
    <row r="205" spans="47:69">
      <c r="AU205" s="72"/>
      <c r="AV205" s="5"/>
      <c r="AW205" s="39"/>
      <c r="AX205" s="5"/>
      <c r="AY205" s="10"/>
      <c r="AZ205" s="5"/>
      <c r="BA205" s="11"/>
      <c r="BB205" s="11"/>
      <c r="BC205" s="43"/>
      <c r="BE205" s="8"/>
      <c r="BG205" s="72"/>
      <c r="BH205" s="16">
        <v>46200</v>
      </c>
      <c r="BI205" s="10"/>
      <c r="BJ205" s="19">
        <v>17654</v>
      </c>
      <c r="BK205" s="10"/>
      <c r="BL205" s="10">
        <v>116.92</v>
      </c>
      <c r="BM205" s="11"/>
      <c r="BN205" s="18">
        <v>6.1130000000000004</v>
      </c>
      <c r="BO205" s="12">
        <v>775.86</v>
      </c>
      <c r="BQ205" s="8"/>
    </row>
    <row r="206" spans="47:69">
      <c r="AU206" s="72"/>
      <c r="AV206" s="22"/>
      <c r="AW206" s="40"/>
      <c r="AX206" s="23"/>
      <c r="AY206" s="23">
        <f>AW203-AW189</f>
        <v>6564</v>
      </c>
      <c r="AZ206" s="23">
        <f>SUM(AZ189:AZ205)</f>
        <v>1147.6400000000001</v>
      </c>
      <c r="BA206" s="28">
        <f>Table26912142030405470829811248121620242832488014446[[#This Row],[KM Rodado]]/Table26912142030405470829811248121620242832488014446[[#This Row],[Consumo Lt]]</f>
        <v>5.7195636262242511</v>
      </c>
      <c r="BB206" s="30">
        <f>SUM(BB189:BB205)</f>
        <v>52.519999999999996</v>
      </c>
      <c r="BC206" s="45">
        <f>SUM(BC189:BC205)</f>
        <v>7767.1599999999989</v>
      </c>
      <c r="BD206" s="21" t="s">
        <v>10</v>
      </c>
      <c r="BE206" s="21">
        <f>SUM(BE189:BE205)</f>
        <v>350</v>
      </c>
      <c r="BG206" s="72"/>
      <c r="BH206" s="23"/>
      <c r="BI206" s="23"/>
      <c r="BJ206" s="23"/>
      <c r="BK206" s="23">
        <f t="shared" ref="BK206" si="45">BJ205-BI189</f>
        <v>11090</v>
      </c>
      <c r="BL206" s="23">
        <f>SUM(BL189:BL205)</f>
        <v>1717.2060000000004</v>
      </c>
      <c r="BM206" s="30">
        <f>Table269121420304054708298112610141822263090[[#This Row],[KM Rodado]]/Table269121420304054708298112610141822263090[[#This Row],[Consumo Lt]]</f>
        <v>6.4581651822786537</v>
      </c>
      <c r="BN206" s="23">
        <f>SUM(BN189:BN205)</f>
        <v>114.42499999999998</v>
      </c>
      <c r="BO206" s="27">
        <f>SUM(BO189:BO205)</f>
        <v>11578.35</v>
      </c>
      <c r="BP206" s="21" t="s">
        <v>10</v>
      </c>
      <c r="BQ206" s="21">
        <f>SUM(BQ189:BQ205)</f>
        <v>3159</v>
      </c>
    </row>
    <row r="208" spans="47:69" ht="36">
      <c r="BH208" s="71">
        <v>46174</v>
      </c>
      <c r="BI208" s="71"/>
      <c r="BJ208" s="71"/>
      <c r="BK208" s="71"/>
      <c r="BL208" s="71"/>
      <c r="BM208" s="71"/>
      <c r="BN208" s="71"/>
      <c r="BO208" s="71"/>
      <c r="BP208" s="71"/>
    </row>
    <row r="209" spans="47:69">
      <c r="AU209" s="1" t="s">
        <v>11</v>
      </c>
      <c r="AV209" s="1" t="s">
        <v>0</v>
      </c>
      <c r="AW209" s="1" t="s">
        <v>1</v>
      </c>
      <c r="AX209" s="1" t="s">
        <v>2</v>
      </c>
      <c r="AY209" s="1" t="s">
        <v>3</v>
      </c>
      <c r="AZ209" s="1" t="s">
        <v>4</v>
      </c>
      <c r="BA209" s="1" t="s">
        <v>5</v>
      </c>
      <c r="BB209" s="17" t="s">
        <v>21</v>
      </c>
      <c r="BC209" s="2" t="s">
        <v>6</v>
      </c>
      <c r="BD209" s="3" t="s">
        <v>7</v>
      </c>
      <c r="BE209" s="4" t="s">
        <v>6</v>
      </c>
      <c r="BG209" s="1" t="s">
        <v>11</v>
      </c>
      <c r="BH209" s="1" t="s">
        <v>0</v>
      </c>
      <c r="BI209" s="1" t="s">
        <v>1</v>
      </c>
      <c r="BJ209" s="1" t="s">
        <v>2</v>
      </c>
      <c r="BK209" s="1" t="s">
        <v>3</v>
      </c>
      <c r="BL209" s="1" t="s">
        <v>4</v>
      </c>
      <c r="BM209" s="1" t="s">
        <v>5</v>
      </c>
      <c r="BN209" s="17" t="s">
        <v>21</v>
      </c>
      <c r="BO209" s="2" t="s">
        <v>6</v>
      </c>
      <c r="BP209" s="3" t="s">
        <v>7</v>
      </c>
      <c r="BQ209" s="4" t="s">
        <v>6</v>
      </c>
    </row>
    <row r="210" spans="47:69">
      <c r="AU210" s="72" t="s">
        <v>110</v>
      </c>
      <c r="AV210" s="16">
        <v>46168</v>
      </c>
      <c r="AW210" s="39"/>
      <c r="AX210" s="10">
        <v>337165</v>
      </c>
      <c r="AY210" s="10"/>
      <c r="AZ210" s="10">
        <v>200</v>
      </c>
      <c r="BA210" s="11"/>
      <c r="BB210" s="11"/>
      <c r="BC210" s="41">
        <v>1358</v>
      </c>
      <c r="BE210" s="8"/>
      <c r="BG210" s="72" t="s">
        <v>110</v>
      </c>
      <c r="BH210" s="16">
        <v>46175</v>
      </c>
      <c r="BI210" s="10">
        <v>337352</v>
      </c>
      <c r="BJ210" s="10">
        <v>338961</v>
      </c>
      <c r="BK210" s="10">
        <f>Table269121420304054708298112610141822263094[[#This Row],[KM Final]]-Table269121420304054708298112610141822263094[[#This Row],[KM Inicial]]</f>
        <v>1609</v>
      </c>
      <c r="BL210" s="10">
        <v>450.11</v>
      </c>
      <c r="BM210" s="11">
        <f>Table269121420304054708298112610141822263094[[#This Row],[KM Rodado]]/Table269121420304054708298112610141822263094[[#This Row],[Consumo Lt]]</f>
        <v>3.5746817444624646</v>
      </c>
      <c r="BN210" s="11">
        <v>43.13</v>
      </c>
      <c r="BO210" s="12">
        <v>3001.03</v>
      </c>
      <c r="BP210" t="s">
        <v>8</v>
      </c>
      <c r="BQ210" s="8">
        <v>504</v>
      </c>
    </row>
    <row r="211" spans="47:69" ht="15" customHeight="1">
      <c r="AU211" s="72"/>
      <c r="AV211" s="16">
        <v>46168</v>
      </c>
      <c r="AW211" s="10">
        <f t="shared" ref="AW211:AW212" si="46">AX210</f>
        <v>337165</v>
      </c>
      <c r="AX211" s="10">
        <v>337352</v>
      </c>
      <c r="AY211" s="10">
        <f>Table2691214203040547082981124812162024283248801444650[[#This Row],[KM Final]]-Table2691214203040547082981124812162024283248801444650[[#This Row],[KM Inicial]]</f>
        <v>187</v>
      </c>
      <c r="AZ211" s="10">
        <v>567</v>
      </c>
      <c r="BA211" s="11"/>
      <c r="BB211" s="11"/>
      <c r="BC211" s="42">
        <v>3628.8</v>
      </c>
      <c r="BE211" s="8"/>
      <c r="BG211" s="72"/>
      <c r="BH211" s="16">
        <v>46179</v>
      </c>
      <c r="BI211" s="10">
        <f>BJ210</f>
        <v>338961</v>
      </c>
      <c r="BJ211" s="10">
        <v>340715</v>
      </c>
      <c r="BK211" s="10">
        <f>Table269121420304054708298112610141822263094[[#This Row],[KM Final]]-Table269121420304054708298112610141822263094[[#This Row],[KM Inicial]]</f>
        <v>1754</v>
      </c>
      <c r="BL211" s="10">
        <v>560.01</v>
      </c>
      <c r="BM211" s="11">
        <f>Table269121420304054708298112610141822263094[[#This Row],[KM Rodado]]/Table269121420304054708298112610141822263094[[#This Row],[Consumo Lt]]</f>
        <v>3.1320869270191602</v>
      </c>
      <c r="BN211" s="11">
        <v>37</v>
      </c>
      <c r="BO211" s="12">
        <v>3687.29</v>
      </c>
      <c r="BP211" t="s">
        <v>20</v>
      </c>
      <c r="BQ211" s="8">
        <v>300</v>
      </c>
    </row>
    <row r="212" spans="47:69">
      <c r="AU212" s="72"/>
      <c r="AV212" s="16"/>
      <c r="AW212" s="19">
        <f t="shared" si="46"/>
        <v>337352</v>
      </c>
      <c r="AX212" s="10"/>
      <c r="AY212" s="10"/>
      <c r="AZ212" s="10"/>
      <c r="BA212" s="11"/>
      <c r="BB212" s="11"/>
      <c r="BC212" s="42"/>
      <c r="BE212" s="8"/>
      <c r="BG212" s="72"/>
      <c r="BH212" s="16">
        <v>46180</v>
      </c>
      <c r="BI212" s="10">
        <f>BJ211</f>
        <v>340715</v>
      </c>
      <c r="BJ212" s="10">
        <v>341957</v>
      </c>
      <c r="BK212" s="10">
        <f>Table269121420304054708298112610141822263094[[#This Row],[KM Final]]-Table269121420304054708298112610141822263094[[#This Row],[KM Inicial]]</f>
        <v>1242</v>
      </c>
      <c r="BL212" s="10">
        <v>394</v>
      </c>
      <c r="BM212" s="11">
        <f>Table269121420304054708298112610141822263094[[#This Row],[KM Rodado]]/Table269121420304054708298112610141822263094[[#This Row],[Consumo Lt]]</f>
        <v>3.1522842639593907</v>
      </c>
      <c r="BN212" s="11">
        <v>29.67</v>
      </c>
      <c r="BO212" s="12">
        <v>2604.37</v>
      </c>
      <c r="BP212" t="s">
        <v>62</v>
      </c>
      <c r="BQ212" s="8">
        <v>100</v>
      </c>
    </row>
    <row r="213" spans="47:69">
      <c r="AU213" s="72"/>
      <c r="AV213" s="9"/>
      <c r="AW213" s="10"/>
      <c r="AX213" s="5"/>
      <c r="AY213" s="10"/>
      <c r="AZ213" s="5"/>
      <c r="BA213" s="11"/>
      <c r="BB213" s="11"/>
      <c r="BC213" s="43"/>
      <c r="BE213" s="14"/>
      <c r="BG213" s="72"/>
      <c r="BH213" s="16">
        <v>46183</v>
      </c>
      <c r="BI213" s="10">
        <f>BJ212</f>
        <v>341957</v>
      </c>
      <c r="BJ213" s="10">
        <v>344014</v>
      </c>
      <c r="BK213" s="10"/>
      <c r="BL213" s="10"/>
      <c r="BM213" s="11"/>
      <c r="BN213" s="11"/>
      <c r="BO213" s="12">
        <v>1298</v>
      </c>
      <c r="BP213" t="s">
        <v>109</v>
      </c>
      <c r="BQ213" s="14"/>
    </row>
    <row r="214" spans="47:69">
      <c r="AU214" s="72"/>
      <c r="AV214" s="9"/>
      <c r="AW214" s="10"/>
      <c r="AX214" s="5"/>
      <c r="AY214" s="10"/>
      <c r="AZ214" s="5"/>
      <c r="BA214" s="11"/>
      <c r="BB214" s="11"/>
      <c r="BC214" s="43"/>
      <c r="BE214" s="8"/>
      <c r="BG214" s="72"/>
      <c r="BH214" s="16">
        <v>46183</v>
      </c>
      <c r="BI214" s="10">
        <f>BJ213</f>
        <v>344014</v>
      </c>
      <c r="BJ214" s="10">
        <v>344393</v>
      </c>
      <c r="BK214" s="10">
        <v>2436</v>
      </c>
      <c r="BL214" s="10">
        <v>740.75</v>
      </c>
      <c r="BM214" s="11">
        <f>Table269121420304054708298112610141822263094[[#This Row],[KM Rodado]]/Table269121420304054708298112610141822263094[[#This Row],[Consumo Lt]]</f>
        <v>3.2885588930138372</v>
      </c>
      <c r="BN214" s="11">
        <v>52</v>
      </c>
      <c r="BO214" s="12">
        <v>3383.87</v>
      </c>
      <c r="BQ214" s="8"/>
    </row>
    <row r="215" spans="47:69">
      <c r="AU215" s="72"/>
      <c r="AV215" s="9"/>
      <c r="AW215" s="10"/>
      <c r="AX215" s="5"/>
      <c r="AY215" s="10"/>
      <c r="AZ215" s="5"/>
      <c r="BA215" s="11"/>
      <c r="BB215" s="11"/>
      <c r="BC215" s="43"/>
      <c r="BE215" s="8"/>
      <c r="BG215" s="72"/>
      <c r="BH215" s="16">
        <v>46184</v>
      </c>
      <c r="BI215" s="10">
        <f>BJ214</f>
        <v>344393</v>
      </c>
      <c r="BJ215" s="10">
        <v>345361</v>
      </c>
      <c r="BK215" s="10">
        <f>Table269121420304054708298112610141822263094[[#This Row],[KM Final]]-Table269121420304054708298112610141822263094[[#This Row],[KM Inicial]]</f>
        <v>968</v>
      </c>
      <c r="BL215" s="10">
        <v>290</v>
      </c>
      <c r="BM215" s="11">
        <f>Table269121420304054708298112610141822263094[[#This Row],[KM Rodado]]/Table269121420304054708298112610141822263094[[#This Row],[Consumo Lt]]</f>
        <v>3.3379310344827586</v>
      </c>
      <c r="BN215" s="11">
        <v>21</v>
      </c>
      <c r="BO215" s="12">
        <v>1792.73</v>
      </c>
      <c r="BQ215" s="8"/>
    </row>
    <row r="216" spans="47:69">
      <c r="AU216" s="72"/>
      <c r="AV216" s="9"/>
      <c r="AW216" s="10"/>
      <c r="AX216" s="5"/>
      <c r="AY216" s="10"/>
      <c r="AZ216" s="5"/>
      <c r="BA216" s="11"/>
      <c r="BB216" s="11"/>
      <c r="BC216" s="43"/>
      <c r="BE216" s="8"/>
      <c r="BG216" s="72"/>
      <c r="BH216" s="16">
        <v>46185</v>
      </c>
      <c r="BI216" s="10">
        <f>BJ215</f>
        <v>345361</v>
      </c>
      <c r="BJ216" s="10">
        <v>346432</v>
      </c>
      <c r="BK216" s="10">
        <f>Table269121420304054708298112610141822263094[[#This Row],[KM Final]]-Table269121420304054708298112610141822263094[[#This Row],[KM Inicial]]</f>
        <v>1071</v>
      </c>
      <c r="BL216" s="10">
        <v>335</v>
      </c>
      <c r="BM216" s="11">
        <f>Table269121420304054708298112610141822263094[[#This Row],[KM Rodado]]/Table269121420304054708298112610141822263094[[#This Row],[Consumo Lt]]</f>
        <v>3.1970149253731344</v>
      </c>
      <c r="BN216" s="11"/>
      <c r="BO216" s="12">
        <v>2093.7800000000002</v>
      </c>
      <c r="BQ216" s="8"/>
    </row>
    <row r="217" spans="47:69">
      <c r="AU217" s="72"/>
      <c r="AV217" s="9"/>
      <c r="AW217" s="39"/>
      <c r="AX217" s="5"/>
      <c r="AY217" s="10"/>
      <c r="AZ217" s="5"/>
      <c r="BA217" s="11"/>
      <c r="BB217" s="11"/>
      <c r="BC217" s="43"/>
      <c r="BE217" s="8"/>
      <c r="BG217" s="72"/>
      <c r="BH217" s="16">
        <v>46189</v>
      </c>
      <c r="BI217" s="10">
        <f>BJ216</f>
        <v>346432</v>
      </c>
      <c r="BJ217" s="10">
        <v>347516</v>
      </c>
      <c r="BK217" s="10"/>
      <c r="BL217" s="10"/>
      <c r="BM217" s="11"/>
      <c r="BN217" s="11">
        <v>44.13</v>
      </c>
      <c r="BO217" s="12">
        <v>1096</v>
      </c>
      <c r="BQ217" s="8"/>
    </row>
    <row r="218" spans="47:69">
      <c r="AU218" s="72"/>
      <c r="AV218" s="9"/>
      <c r="AW218" s="39"/>
      <c r="AX218" s="5"/>
      <c r="AY218" s="10"/>
      <c r="AZ218" s="5"/>
      <c r="BA218" s="11"/>
      <c r="BB218" s="11"/>
      <c r="BC218" s="43"/>
      <c r="BE218" s="8"/>
      <c r="BG218" s="72"/>
      <c r="BH218" s="16">
        <v>46190</v>
      </c>
      <c r="BI218" s="10">
        <f>BJ217</f>
        <v>347516</v>
      </c>
      <c r="BJ218" s="10">
        <v>348202</v>
      </c>
      <c r="BK218" s="10">
        <v>1770</v>
      </c>
      <c r="BL218" s="10">
        <v>531</v>
      </c>
      <c r="BM218" s="11">
        <f>Table269121420304054708298112610141822263094[[#This Row],[KM Rodado]]/Table269121420304054708298112610141822263094[[#This Row],[Consumo Lt]]</f>
        <v>3.3333333333333335</v>
      </c>
      <c r="BN218" s="11"/>
      <c r="BO218" s="12">
        <v>2416</v>
      </c>
      <c r="BQ218" s="8"/>
    </row>
    <row r="219" spans="47:69">
      <c r="AU219" s="72"/>
      <c r="AV219" s="9"/>
      <c r="AW219" s="39"/>
      <c r="AX219" s="5"/>
      <c r="AY219" s="10"/>
      <c r="AZ219" s="5"/>
      <c r="BA219" s="11"/>
      <c r="BB219" s="11"/>
      <c r="BC219" s="43"/>
      <c r="BE219" s="8"/>
      <c r="BG219" s="72"/>
      <c r="BH219" s="16">
        <v>46192</v>
      </c>
      <c r="BI219" s="10">
        <f>BJ218</f>
        <v>348202</v>
      </c>
      <c r="BJ219" s="10">
        <v>349515</v>
      </c>
      <c r="BK219" s="10">
        <f>Table269121420304054708298112610141822263094[[#This Row],[KM Final]]-Table269121420304054708298112610141822263094[[#This Row],[KM Inicial]]</f>
        <v>1313</v>
      </c>
      <c r="BL219" s="10">
        <v>400</v>
      </c>
      <c r="BM219" s="11">
        <f>Table269121420304054708298112610141822263094[[#This Row],[KM Rodado]]/Table269121420304054708298112610141822263094[[#This Row],[Consumo Lt]]</f>
        <v>3.2825000000000002</v>
      </c>
      <c r="BN219" s="11">
        <v>46.11</v>
      </c>
      <c r="BO219" s="12">
        <v>2646.78</v>
      </c>
      <c r="BQ219" s="8"/>
    </row>
    <row r="220" spans="47:69">
      <c r="AU220" s="72"/>
      <c r="AV220" s="9"/>
      <c r="AW220" s="39"/>
      <c r="AX220" s="5"/>
      <c r="AY220" s="10"/>
      <c r="AZ220" s="5"/>
      <c r="BA220" s="11"/>
      <c r="BB220" s="11"/>
      <c r="BC220" s="43"/>
      <c r="BE220" s="8"/>
      <c r="BG220" s="72"/>
      <c r="BH220" s="16">
        <v>46195</v>
      </c>
      <c r="BI220" s="10">
        <f>BJ219</f>
        <v>349515</v>
      </c>
      <c r="BJ220" s="10">
        <v>350559</v>
      </c>
      <c r="BK220" s="10">
        <f>Table269121420304054708298112610141822263094[[#This Row],[KM Final]]-Table269121420304054708298112610141822263094[[#This Row],[KM Inicial]]</f>
        <v>1044</v>
      </c>
      <c r="BL220" s="10">
        <v>317</v>
      </c>
      <c r="BM220" s="11">
        <f>Table269121420304054708298112610141822263094[[#This Row],[KM Rodado]]/Table269121420304054708298112610141822263094[[#This Row],[Consumo Lt]]</f>
        <v>3.2933753943217665</v>
      </c>
      <c r="BN220" s="11">
        <v>19.2</v>
      </c>
      <c r="BO220" s="12">
        <v>1886.17</v>
      </c>
      <c r="BQ220" s="8"/>
    </row>
    <row r="221" spans="47:69">
      <c r="AU221" s="72"/>
      <c r="AV221" s="9"/>
      <c r="AW221" s="39"/>
      <c r="AX221" s="5"/>
      <c r="AY221" s="10"/>
      <c r="AZ221" s="5"/>
      <c r="BA221" s="11"/>
      <c r="BB221" s="11"/>
      <c r="BC221" s="43"/>
      <c r="BE221" s="14"/>
      <c r="BG221" s="72"/>
      <c r="BH221" s="16">
        <v>46197</v>
      </c>
      <c r="BI221" s="10">
        <f>BJ220</f>
        <v>350559</v>
      </c>
      <c r="BJ221" s="10"/>
      <c r="BK221" s="10"/>
      <c r="BL221" s="10">
        <v>343</v>
      </c>
      <c r="BM221" s="11"/>
      <c r="BN221" s="11">
        <v>25.18</v>
      </c>
      <c r="BO221" s="12">
        <v>2318.6999999999998</v>
      </c>
      <c r="BQ221" s="14"/>
    </row>
    <row r="222" spans="47:69">
      <c r="AU222" s="72"/>
      <c r="AV222" s="9"/>
      <c r="AW222" s="39"/>
      <c r="AX222" s="5"/>
      <c r="AY222" s="10"/>
      <c r="AZ222" s="5"/>
      <c r="BA222" s="11"/>
      <c r="BB222" s="11"/>
      <c r="BC222" s="43"/>
      <c r="BE222" s="8"/>
      <c r="BG222" s="72"/>
      <c r="BH222" s="16">
        <v>46202</v>
      </c>
      <c r="BI222" s="10">
        <f>BJ221</f>
        <v>0</v>
      </c>
      <c r="BJ222" s="10">
        <v>354470</v>
      </c>
      <c r="BK222" s="10"/>
      <c r="BL222" s="10">
        <v>553</v>
      </c>
      <c r="BM222" s="11"/>
      <c r="BN222" s="11">
        <v>34</v>
      </c>
      <c r="BO222" s="12">
        <v>3320</v>
      </c>
      <c r="BQ222" s="8"/>
    </row>
    <row r="223" spans="47:69">
      <c r="AU223" s="72"/>
      <c r="AV223" s="9"/>
      <c r="AW223" s="39"/>
      <c r="AX223" s="5"/>
      <c r="AY223" s="10"/>
      <c r="AZ223" s="5"/>
      <c r="BA223" s="11"/>
      <c r="BB223" s="11"/>
      <c r="BC223" s="43"/>
      <c r="BE223" s="8"/>
      <c r="BG223" s="72"/>
      <c r="BH223" s="16">
        <v>46205</v>
      </c>
      <c r="BI223" s="10">
        <f>BJ222</f>
        <v>354470</v>
      </c>
      <c r="BJ223" s="10">
        <v>356206</v>
      </c>
      <c r="BK223" s="10">
        <f>Table269121420304054708298112610141822263094[[#This Row],[KM Final]]-Table269121420304054708298112610141822263094[[#This Row],[KM Inicial]]</f>
        <v>1736</v>
      </c>
      <c r="BL223" s="10">
        <v>511.4</v>
      </c>
      <c r="BM223" s="11">
        <f>Table269121420304054708298112610141822263094[[#This Row],[KM Rodado]]/Table269121420304054708298112610141822263094[[#This Row],[Consumo Lt]]</f>
        <v>3.3946030504497458</v>
      </c>
      <c r="BN223" s="11">
        <v>34.65</v>
      </c>
      <c r="BO223" s="12">
        <v>3206</v>
      </c>
      <c r="BQ223" s="8"/>
    </row>
    <row r="224" spans="47:69">
      <c r="AU224" s="72"/>
      <c r="AV224" s="9"/>
      <c r="AW224" s="15"/>
      <c r="AX224" s="5"/>
      <c r="AY224" s="10"/>
      <c r="AZ224" s="5"/>
      <c r="BA224" s="11"/>
      <c r="BB224" s="11"/>
      <c r="BC224" s="43"/>
      <c r="BE224" s="8"/>
      <c r="BG224" s="72"/>
      <c r="BH224" s="16"/>
      <c r="BI224" s="19">
        <f>BJ223</f>
        <v>356206</v>
      </c>
      <c r="BJ224" s="10"/>
      <c r="BK224" s="10"/>
      <c r="BL224" s="10"/>
      <c r="BM224" s="11"/>
      <c r="BN224" s="11"/>
      <c r="BO224" s="12"/>
      <c r="BQ224" s="8"/>
    </row>
    <row r="225" spans="47:69">
      <c r="AU225" s="72"/>
      <c r="AV225" s="5"/>
      <c r="AW225" s="39"/>
      <c r="AX225" s="5"/>
      <c r="AY225" s="10"/>
      <c r="AZ225" s="5"/>
      <c r="BA225" s="11"/>
      <c r="BB225" s="11"/>
      <c r="BC225" s="43"/>
      <c r="BE225" s="8"/>
      <c r="BG225" s="72"/>
      <c r="BH225" s="10"/>
      <c r="BI225" s="19"/>
      <c r="BJ225" s="10"/>
      <c r="BK225" s="10"/>
      <c r="BL225" s="10"/>
      <c r="BM225" s="11"/>
      <c r="BN225" s="11"/>
      <c r="BO225" s="12"/>
      <c r="BQ225" s="8"/>
    </row>
    <row r="226" spans="47:69">
      <c r="AU226" s="72"/>
      <c r="AV226" s="5"/>
      <c r="AW226" s="39"/>
      <c r="AX226" s="5"/>
      <c r="AY226" s="10"/>
      <c r="AZ226" s="5"/>
      <c r="BA226" s="11"/>
      <c r="BB226" s="11"/>
      <c r="BC226" s="43"/>
      <c r="BE226" s="8"/>
      <c r="BG226" s="72"/>
      <c r="BH226" s="10"/>
      <c r="BI226" s="19"/>
      <c r="BJ226" s="10"/>
      <c r="BK226" s="10"/>
      <c r="BL226" s="10"/>
      <c r="BM226" s="11"/>
      <c r="BN226" s="11"/>
      <c r="BO226" s="12"/>
      <c r="BQ226" s="8"/>
    </row>
    <row r="227" spans="47:69">
      <c r="AU227" s="72"/>
      <c r="AV227" s="22"/>
      <c r="AW227" s="40"/>
      <c r="AX227" s="23"/>
      <c r="AY227" s="23"/>
      <c r="AZ227" s="23">
        <f>SUM(AZ210:AZ226)</f>
        <v>767</v>
      </c>
      <c r="BA227" s="28"/>
      <c r="BB227" s="30"/>
      <c r="BC227" s="45">
        <f>SUM(BC210:BC226)</f>
        <v>4986.8</v>
      </c>
      <c r="BD227" s="21" t="s">
        <v>10</v>
      </c>
      <c r="BE227" s="21">
        <f>SUM(BE210:BE226)</f>
        <v>0</v>
      </c>
      <c r="BG227" s="72"/>
      <c r="BH227" s="20"/>
      <c r="BI227" s="20"/>
      <c r="BJ227" s="25"/>
      <c r="BK227" s="25">
        <f>BI224-BI210</f>
        <v>18854</v>
      </c>
      <c r="BL227" s="25">
        <f>SUM(BL210:BL226)</f>
        <v>5425.2699999999995</v>
      </c>
      <c r="BM227" s="29">
        <f>Table269121420304054708298112610141822263094[[#This Row],[KM Rodado]]/Table269121420304054708298112610141822263094[[#This Row],[Consumo Lt]]</f>
        <v>3.4752187448735272</v>
      </c>
      <c r="BN227" s="29">
        <f>SUM(BN210:BN226)</f>
        <v>386.07</v>
      </c>
      <c r="BO227" s="26">
        <f>SUM(BO210:BO226)</f>
        <v>34750.720000000001</v>
      </c>
      <c r="BP227" s="21" t="s">
        <v>10</v>
      </c>
      <c r="BQ227" s="21">
        <f>SUM(BQ210:BQ226)</f>
        <v>904</v>
      </c>
    </row>
  </sheetData>
  <mergeCells count="86">
    <mergeCell ref="AU167:AU184"/>
    <mergeCell ref="AU189:AU206"/>
    <mergeCell ref="AU3:AU20"/>
    <mergeCell ref="AU26:AU43"/>
    <mergeCell ref="AU49:AU66"/>
    <mergeCell ref="AU72:AU89"/>
    <mergeCell ref="AU95:AU112"/>
    <mergeCell ref="AU165:BC165"/>
    <mergeCell ref="AU93:BC93"/>
    <mergeCell ref="AI165:AQ165"/>
    <mergeCell ref="AU70:BC70"/>
    <mergeCell ref="AU47:BC47"/>
    <mergeCell ref="AU1:BC1"/>
    <mergeCell ref="AU24:BC24"/>
    <mergeCell ref="AU138:BC138"/>
    <mergeCell ref="AU116:BC116"/>
    <mergeCell ref="AI116:AQ116"/>
    <mergeCell ref="AI138:AQ138"/>
    <mergeCell ref="AI1:AQ1"/>
    <mergeCell ref="AI24:AQ24"/>
    <mergeCell ref="AI47:AQ47"/>
    <mergeCell ref="AI70:AQ70"/>
    <mergeCell ref="AI93:AQ93"/>
    <mergeCell ref="AU118:AU135"/>
    <mergeCell ref="AU140:AU157"/>
    <mergeCell ref="A167:A184"/>
    <mergeCell ref="B93:J93"/>
    <mergeCell ref="L93:T93"/>
    <mergeCell ref="A95:A112"/>
    <mergeCell ref="B116:J116"/>
    <mergeCell ref="L116:T116"/>
    <mergeCell ref="A118:A135"/>
    <mergeCell ref="B138:J138"/>
    <mergeCell ref="L138:T138"/>
    <mergeCell ref="A140:A157"/>
    <mergeCell ref="B165:J165"/>
    <mergeCell ref="L165:T165"/>
    <mergeCell ref="Y138:AG138"/>
    <mergeCell ref="A72:A89"/>
    <mergeCell ref="A3:A20"/>
    <mergeCell ref="B1:J1"/>
    <mergeCell ref="L1:T1"/>
    <mergeCell ref="B24:J24"/>
    <mergeCell ref="L24:T24"/>
    <mergeCell ref="A26:A43"/>
    <mergeCell ref="B47:J47"/>
    <mergeCell ref="L47:T47"/>
    <mergeCell ref="A49:A66"/>
    <mergeCell ref="B70:J70"/>
    <mergeCell ref="L70:T70"/>
    <mergeCell ref="AU210:AU227"/>
    <mergeCell ref="X167:X184"/>
    <mergeCell ref="W165:AF165"/>
    <mergeCell ref="W116:AF116"/>
    <mergeCell ref="W1:AF1"/>
    <mergeCell ref="W24:AF24"/>
    <mergeCell ref="W47:AF47"/>
    <mergeCell ref="W70:AF70"/>
    <mergeCell ref="W93:AF93"/>
    <mergeCell ref="X3:X20"/>
    <mergeCell ref="X26:X43"/>
    <mergeCell ref="X49:X66"/>
    <mergeCell ref="X72:X89"/>
    <mergeCell ref="X95:X112"/>
    <mergeCell ref="X118:X135"/>
    <mergeCell ref="X140:X157"/>
    <mergeCell ref="BH1:BP1"/>
    <mergeCell ref="BG3:BG20"/>
    <mergeCell ref="BH24:BP24"/>
    <mergeCell ref="BG26:BG43"/>
    <mergeCell ref="BH47:BP47"/>
    <mergeCell ref="BG49:BG66"/>
    <mergeCell ref="BH70:BP70"/>
    <mergeCell ref="BG72:BG89"/>
    <mergeCell ref="BH93:BP93"/>
    <mergeCell ref="BG95:BG112"/>
    <mergeCell ref="BH116:BP116"/>
    <mergeCell ref="BG118:BG135"/>
    <mergeCell ref="BH138:BP138"/>
    <mergeCell ref="BG140:BG157"/>
    <mergeCell ref="BH165:BP165"/>
    <mergeCell ref="BH208:BP208"/>
    <mergeCell ref="BG210:BG227"/>
    <mergeCell ref="BG167:BG184"/>
    <mergeCell ref="BH187:BP187"/>
    <mergeCell ref="BG189:BG206"/>
  </mergeCells>
  <pageMargins left="0.511811024" right="0.511811024" top="0.78740157499999996" bottom="0.78740157499999996" header="0.31496062000000002" footer="0.31496062000000002"/>
  <pageSetup paperSize="9" orientation="portrait" r:id="rId1"/>
  <ignoredErrors>
    <ignoredError sqref="C26 C49 C95 C118 C124 C171 C140" calculatedColumn="1"/>
  </ignoredErrors>
  <tableParts count="104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  <tablePart r:id="rId54"/>
    <tablePart r:id="rId55"/>
    <tablePart r:id="rId56"/>
    <tablePart r:id="rId57"/>
    <tablePart r:id="rId58"/>
    <tablePart r:id="rId59"/>
    <tablePart r:id="rId60"/>
    <tablePart r:id="rId61"/>
    <tablePart r:id="rId62"/>
    <tablePart r:id="rId63"/>
    <tablePart r:id="rId64"/>
    <tablePart r:id="rId65"/>
    <tablePart r:id="rId66"/>
    <tablePart r:id="rId67"/>
    <tablePart r:id="rId68"/>
    <tablePart r:id="rId69"/>
    <tablePart r:id="rId70"/>
    <tablePart r:id="rId71"/>
    <tablePart r:id="rId72"/>
    <tablePart r:id="rId73"/>
    <tablePart r:id="rId74"/>
    <tablePart r:id="rId75"/>
    <tablePart r:id="rId76"/>
    <tablePart r:id="rId77"/>
    <tablePart r:id="rId78"/>
    <tablePart r:id="rId79"/>
    <tablePart r:id="rId80"/>
    <tablePart r:id="rId81"/>
    <tablePart r:id="rId82"/>
    <tablePart r:id="rId83"/>
    <tablePart r:id="rId84"/>
    <tablePart r:id="rId85"/>
    <tablePart r:id="rId86"/>
    <tablePart r:id="rId87"/>
    <tablePart r:id="rId88"/>
    <tablePart r:id="rId89"/>
    <tablePart r:id="rId90"/>
    <tablePart r:id="rId91"/>
    <tablePart r:id="rId92"/>
    <tablePart r:id="rId93"/>
    <tablePart r:id="rId94"/>
    <tablePart r:id="rId95"/>
    <tablePart r:id="rId96"/>
    <tablePart r:id="rId97"/>
    <tablePart r:id="rId98"/>
    <tablePart r:id="rId99"/>
    <tablePart r:id="rId100"/>
    <tablePart r:id="rId101"/>
    <tablePart r:id="rId102"/>
    <tablePart r:id="rId103"/>
    <tablePart r:id="rId104"/>
    <tablePart r:id="rId10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8"/>
  <sheetViews>
    <sheetView workbookViewId="0">
      <selection activeCell="F32" sqref="F32"/>
    </sheetView>
  </sheetViews>
  <sheetFormatPr defaultRowHeight="15"/>
  <cols>
    <col min="9" max="9" width="13.28515625" bestFit="1" customWidth="1"/>
    <col min="10" max="10" width="28.5703125" bestFit="1" customWidth="1"/>
    <col min="11" max="11" width="12.140625" bestFit="1" customWidth="1"/>
  </cols>
  <sheetData>
    <row r="1" spans="1:11" ht="36">
      <c r="B1" s="71">
        <v>46235</v>
      </c>
      <c r="C1" s="71"/>
      <c r="D1" s="71"/>
      <c r="E1" s="71"/>
      <c r="F1" s="71"/>
      <c r="G1" s="71"/>
      <c r="H1" s="71"/>
      <c r="I1" s="71"/>
      <c r="J1" s="71"/>
    </row>
    <row r="2" spans="1:11">
      <c r="A2" s="1" t="s">
        <v>11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7" t="s">
        <v>21</v>
      </c>
      <c r="I2" s="2" t="s">
        <v>6</v>
      </c>
      <c r="J2" s="3" t="s">
        <v>7</v>
      </c>
      <c r="K2" s="4" t="s">
        <v>6</v>
      </c>
    </row>
    <row r="3" spans="1:11">
      <c r="A3" s="72" t="s">
        <v>12</v>
      </c>
      <c r="B3" s="16"/>
      <c r="C3" s="10"/>
      <c r="D3" s="10"/>
      <c r="E3" s="10"/>
      <c r="F3" s="10"/>
      <c r="G3" s="11"/>
      <c r="H3" s="11"/>
      <c r="I3" s="12"/>
      <c r="J3" t="s">
        <v>8</v>
      </c>
      <c r="K3" s="8">
        <v>504</v>
      </c>
    </row>
    <row r="4" spans="1:11">
      <c r="A4" s="72"/>
      <c r="B4" s="16"/>
      <c r="C4" s="10"/>
      <c r="D4" s="10"/>
      <c r="E4" s="10"/>
      <c r="F4" s="10"/>
      <c r="G4" s="11"/>
      <c r="H4" s="11"/>
      <c r="I4" s="12"/>
      <c r="J4" t="s">
        <v>9</v>
      </c>
      <c r="K4" s="8">
        <v>178</v>
      </c>
    </row>
    <row r="5" spans="1:11">
      <c r="A5" s="72"/>
      <c r="B5" s="16"/>
      <c r="C5" s="10"/>
      <c r="D5" s="10"/>
      <c r="E5" s="10"/>
      <c r="F5" s="10"/>
      <c r="G5" s="11"/>
      <c r="H5" s="11"/>
      <c r="I5" s="12"/>
      <c r="K5" s="8"/>
    </row>
    <row r="6" spans="1:11">
      <c r="A6" s="72"/>
      <c r="B6" s="16"/>
      <c r="C6" s="10"/>
      <c r="D6" s="10"/>
      <c r="E6" s="10"/>
      <c r="F6" s="10"/>
      <c r="G6" s="11"/>
      <c r="H6" s="11"/>
      <c r="I6" s="12"/>
      <c r="K6" s="14"/>
    </row>
    <row r="7" spans="1:11">
      <c r="A7" s="72"/>
      <c r="B7" s="16"/>
      <c r="C7" s="10"/>
      <c r="D7" s="10"/>
      <c r="E7" s="10"/>
      <c r="F7" s="10"/>
      <c r="G7" s="11"/>
      <c r="H7" s="11"/>
      <c r="I7" s="12"/>
      <c r="K7" s="8"/>
    </row>
    <row r="8" spans="1:11">
      <c r="A8" s="72"/>
      <c r="B8" s="9"/>
      <c r="C8" s="10"/>
      <c r="D8" s="5"/>
      <c r="E8" s="10"/>
      <c r="F8" s="5"/>
      <c r="G8" s="11"/>
      <c r="H8" s="11"/>
      <c r="I8" s="13"/>
      <c r="K8" s="8"/>
    </row>
    <row r="9" spans="1:11">
      <c r="A9" s="72"/>
      <c r="B9" s="9"/>
      <c r="C9" s="10"/>
      <c r="D9" s="5"/>
      <c r="E9" s="10"/>
      <c r="F9" s="5"/>
      <c r="G9" s="13"/>
      <c r="H9" s="11"/>
      <c r="I9" s="13"/>
      <c r="K9" s="8"/>
    </row>
    <row r="10" spans="1:11">
      <c r="A10" s="72"/>
      <c r="B10" s="9"/>
      <c r="C10" s="15"/>
      <c r="D10" s="5"/>
      <c r="E10" s="10"/>
      <c r="F10" s="5"/>
      <c r="G10" s="13"/>
      <c r="H10" s="11"/>
      <c r="I10" s="13"/>
      <c r="K10" s="8"/>
    </row>
    <row r="11" spans="1:11">
      <c r="A11" s="72"/>
      <c r="B11" s="5"/>
      <c r="C11" s="15"/>
      <c r="D11" s="5"/>
      <c r="E11" s="10"/>
      <c r="F11" s="5"/>
      <c r="G11" s="13"/>
      <c r="H11" s="11"/>
      <c r="I11" s="13"/>
      <c r="K11" s="8"/>
    </row>
    <row r="12" spans="1:11">
      <c r="A12" s="72"/>
      <c r="B12" s="9"/>
      <c r="C12" s="5"/>
      <c r="D12" s="5"/>
      <c r="E12" s="10"/>
      <c r="F12" s="5"/>
      <c r="G12" s="13"/>
      <c r="H12" s="11"/>
      <c r="I12" s="13"/>
      <c r="K12" s="8"/>
    </row>
    <row r="13" spans="1:11">
      <c r="A13" s="72"/>
      <c r="B13" s="9"/>
      <c r="C13" s="5"/>
      <c r="D13" s="5"/>
      <c r="E13" s="10"/>
      <c r="F13" s="5"/>
      <c r="G13" s="13"/>
      <c r="H13" s="11"/>
      <c r="I13" s="13"/>
      <c r="K13" s="8"/>
    </row>
    <row r="14" spans="1:11">
      <c r="A14" s="72"/>
      <c r="B14" s="9"/>
      <c r="C14" s="5"/>
      <c r="D14" s="5"/>
      <c r="E14" s="10"/>
      <c r="F14" s="5"/>
      <c r="G14" s="13"/>
      <c r="H14" s="11"/>
      <c r="I14" s="13"/>
      <c r="K14" s="14"/>
    </row>
    <row r="15" spans="1:11">
      <c r="A15" s="72"/>
      <c r="B15" s="9"/>
      <c r="C15" s="15"/>
      <c r="D15" s="5"/>
      <c r="E15" s="10"/>
      <c r="F15" s="5"/>
      <c r="G15" s="13"/>
      <c r="H15" s="11"/>
      <c r="I15" s="13"/>
      <c r="K15" s="8"/>
    </row>
    <row r="16" spans="1:11">
      <c r="A16" s="72"/>
      <c r="B16" s="5"/>
      <c r="C16" s="15"/>
      <c r="D16" s="5"/>
      <c r="E16" s="10"/>
      <c r="F16" s="5"/>
      <c r="G16" s="13"/>
      <c r="H16" s="11"/>
      <c r="I16" s="13"/>
      <c r="K16" s="8"/>
    </row>
    <row r="17" spans="1:11">
      <c r="A17" s="72"/>
      <c r="B17" s="5"/>
      <c r="C17" s="15"/>
      <c r="D17" s="5"/>
      <c r="E17" s="10"/>
      <c r="F17" s="5"/>
      <c r="G17" s="13"/>
      <c r="H17" s="11"/>
      <c r="I17" s="13"/>
      <c r="K17" s="8"/>
    </row>
    <row r="18" spans="1:11">
      <c r="A18" s="72"/>
      <c r="B18" s="5"/>
      <c r="C18" s="15"/>
      <c r="D18" s="5"/>
      <c r="E18" s="10"/>
      <c r="F18" s="5"/>
      <c r="G18" s="13"/>
      <c r="H18" s="11"/>
      <c r="I18" s="13"/>
      <c r="K18" s="8"/>
    </row>
    <row r="19" spans="1:11">
      <c r="A19" s="72"/>
      <c r="B19" s="5"/>
      <c r="C19" s="15"/>
      <c r="D19" s="5"/>
      <c r="E19" s="10"/>
      <c r="F19" s="5"/>
      <c r="G19" s="13"/>
      <c r="H19" s="11"/>
      <c r="I19" s="13"/>
      <c r="K19" s="8"/>
    </row>
    <row r="20" spans="1:11">
      <c r="A20" s="72"/>
      <c r="B20" s="22"/>
      <c r="C20" s="22"/>
      <c r="D20" s="23"/>
      <c r="E20" s="23"/>
      <c r="F20" s="23"/>
      <c r="G20" s="22"/>
      <c r="H20" s="22"/>
      <c r="I20" s="22"/>
      <c r="J20" s="21" t="s">
        <v>10</v>
      </c>
      <c r="K20" s="21">
        <f>SUM(K3:K19)</f>
        <v>682</v>
      </c>
    </row>
    <row r="23" spans="1:11" ht="36">
      <c r="B23" s="71">
        <v>46235</v>
      </c>
      <c r="C23" s="71"/>
      <c r="D23" s="71"/>
      <c r="E23" s="71"/>
      <c r="F23" s="71"/>
      <c r="G23" s="71"/>
      <c r="H23" s="71"/>
      <c r="I23" s="71"/>
      <c r="J23" s="71"/>
    </row>
    <row r="24" spans="1:11">
      <c r="A24" s="1" t="s">
        <v>11</v>
      </c>
      <c r="B24" s="1" t="s">
        <v>0</v>
      </c>
      <c r="C24" s="1" t="s">
        <v>1</v>
      </c>
      <c r="D24" s="1" t="s">
        <v>2</v>
      </c>
      <c r="E24" s="1" t="s">
        <v>3</v>
      </c>
      <c r="F24" s="1" t="s">
        <v>4</v>
      </c>
      <c r="G24" s="1" t="s">
        <v>5</v>
      </c>
      <c r="H24" s="17" t="s">
        <v>21</v>
      </c>
      <c r="I24" s="2" t="s">
        <v>6</v>
      </c>
      <c r="J24" s="3" t="s">
        <v>7</v>
      </c>
      <c r="K24" s="4" t="s">
        <v>6</v>
      </c>
    </row>
    <row r="25" spans="1:11" ht="15" customHeight="1">
      <c r="A25" s="72" t="s">
        <v>13</v>
      </c>
      <c r="B25" s="16"/>
      <c r="C25" s="10"/>
      <c r="D25" s="10"/>
      <c r="E25" s="10"/>
      <c r="F25" s="10"/>
      <c r="G25" s="11"/>
      <c r="H25" s="11"/>
      <c r="I25" s="12"/>
      <c r="J25" t="s">
        <v>8</v>
      </c>
      <c r="K25" s="8">
        <v>504</v>
      </c>
    </row>
    <row r="26" spans="1:11">
      <c r="A26" s="72"/>
      <c r="B26" s="16"/>
      <c r="C26" s="10"/>
      <c r="D26" s="10"/>
      <c r="E26" s="10"/>
      <c r="F26" s="10"/>
      <c r="G26" s="11"/>
      <c r="H26" s="11"/>
      <c r="I26" s="12"/>
      <c r="J26" t="s">
        <v>9</v>
      </c>
      <c r="K26" s="8">
        <v>178</v>
      </c>
    </row>
    <row r="27" spans="1:11">
      <c r="A27" s="72"/>
      <c r="B27" s="16"/>
      <c r="C27" s="10"/>
      <c r="D27" s="10"/>
      <c r="E27" s="10"/>
      <c r="F27" s="10"/>
      <c r="G27" s="11"/>
      <c r="H27" s="11"/>
      <c r="I27" s="12"/>
      <c r="K27" s="8"/>
    </row>
    <row r="28" spans="1:11">
      <c r="A28" s="72"/>
      <c r="B28" s="16"/>
      <c r="C28" s="10"/>
      <c r="D28" s="10"/>
      <c r="E28" s="10"/>
      <c r="F28" s="10"/>
      <c r="G28" s="11"/>
      <c r="H28" s="11"/>
      <c r="I28" s="12"/>
      <c r="K28" s="14"/>
    </row>
    <row r="29" spans="1:11">
      <c r="A29" s="72"/>
      <c r="B29" s="16"/>
      <c r="C29" s="10"/>
      <c r="D29" s="10"/>
      <c r="E29" s="10"/>
      <c r="F29" s="10"/>
      <c r="G29" s="11"/>
      <c r="H29" s="11"/>
      <c r="I29" s="12"/>
      <c r="K29" s="8"/>
    </row>
    <row r="30" spans="1:11">
      <c r="A30" s="72"/>
      <c r="B30" s="9"/>
      <c r="C30" s="10"/>
      <c r="D30" s="5"/>
      <c r="E30" s="10"/>
      <c r="F30" s="5"/>
      <c r="G30" s="11"/>
      <c r="H30" s="11"/>
      <c r="I30" s="13"/>
      <c r="K30" s="8"/>
    </row>
    <row r="31" spans="1:11">
      <c r="A31" s="72"/>
      <c r="B31" s="9"/>
      <c r="C31" s="10"/>
      <c r="D31" s="5"/>
      <c r="E31" s="10"/>
      <c r="F31" s="5"/>
      <c r="G31" s="13"/>
      <c r="H31" s="11"/>
      <c r="I31" s="13"/>
      <c r="K31" s="8"/>
    </row>
    <row r="32" spans="1:11">
      <c r="A32" s="72"/>
      <c r="B32" s="9"/>
      <c r="C32" s="15"/>
      <c r="D32" s="5"/>
      <c r="E32" s="10"/>
      <c r="F32" s="5"/>
      <c r="G32" s="13"/>
      <c r="H32" s="11"/>
      <c r="I32" s="13"/>
      <c r="K32" s="8"/>
    </row>
    <row r="33" spans="1:11">
      <c r="A33" s="72"/>
      <c r="B33" s="5"/>
      <c r="C33" s="15"/>
      <c r="D33" s="5"/>
      <c r="E33" s="10"/>
      <c r="F33" s="5"/>
      <c r="G33" s="13"/>
      <c r="H33" s="11"/>
      <c r="I33" s="13"/>
      <c r="K33" s="8"/>
    </row>
    <row r="34" spans="1:11">
      <c r="A34" s="72"/>
      <c r="B34" s="9"/>
      <c r="C34" s="5"/>
      <c r="D34" s="5"/>
      <c r="E34" s="10"/>
      <c r="F34" s="5"/>
      <c r="G34" s="13"/>
      <c r="H34" s="11"/>
      <c r="I34" s="13"/>
      <c r="K34" s="8"/>
    </row>
    <row r="35" spans="1:11">
      <c r="A35" s="72"/>
      <c r="B35" s="9"/>
      <c r="C35" s="5"/>
      <c r="D35" s="5"/>
      <c r="E35" s="10"/>
      <c r="F35" s="5"/>
      <c r="G35" s="13"/>
      <c r="H35" s="11"/>
      <c r="I35" s="13"/>
      <c r="K35" s="8"/>
    </row>
    <row r="36" spans="1:11">
      <c r="A36" s="72"/>
      <c r="B36" s="9"/>
      <c r="C36" s="5"/>
      <c r="D36" s="5"/>
      <c r="E36" s="10"/>
      <c r="F36" s="5"/>
      <c r="G36" s="13"/>
      <c r="H36" s="11"/>
      <c r="I36" s="13"/>
      <c r="K36" s="14"/>
    </row>
    <row r="37" spans="1:11">
      <c r="A37" s="72"/>
      <c r="B37" s="9"/>
      <c r="C37" s="15"/>
      <c r="D37" s="5"/>
      <c r="E37" s="10"/>
      <c r="F37" s="5"/>
      <c r="G37" s="13"/>
      <c r="H37" s="11"/>
      <c r="I37" s="13"/>
      <c r="K37" s="8"/>
    </row>
    <row r="38" spans="1:11">
      <c r="A38" s="72"/>
      <c r="B38" s="5"/>
      <c r="C38" s="15"/>
      <c r="D38" s="5"/>
      <c r="E38" s="10"/>
      <c r="F38" s="5"/>
      <c r="G38" s="13"/>
      <c r="H38" s="11"/>
      <c r="I38" s="13"/>
      <c r="K38" s="8"/>
    </row>
    <row r="39" spans="1:11">
      <c r="A39" s="72"/>
      <c r="B39" s="5"/>
      <c r="C39" s="15"/>
      <c r="D39" s="5"/>
      <c r="E39" s="10"/>
      <c r="F39" s="5"/>
      <c r="G39" s="13"/>
      <c r="H39" s="11"/>
      <c r="I39" s="13"/>
      <c r="K39" s="8"/>
    </row>
    <row r="40" spans="1:11">
      <c r="A40" s="72"/>
      <c r="B40" s="5"/>
      <c r="C40" s="15"/>
      <c r="D40" s="5"/>
      <c r="E40" s="10"/>
      <c r="F40" s="5"/>
      <c r="G40" s="13"/>
      <c r="H40" s="11"/>
      <c r="I40" s="13"/>
      <c r="K40" s="8"/>
    </row>
    <row r="41" spans="1:11">
      <c r="A41" s="72"/>
      <c r="B41" s="5"/>
      <c r="C41" s="15"/>
      <c r="D41" s="5"/>
      <c r="E41" s="10"/>
      <c r="F41" s="5"/>
      <c r="G41" s="13"/>
      <c r="H41" s="11"/>
      <c r="I41" s="13"/>
      <c r="K41" s="8"/>
    </row>
    <row r="42" spans="1:11">
      <c r="A42" s="72"/>
      <c r="B42" s="22"/>
      <c r="C42" s="22"/>
      <c r="D42" s="23"/>
      <c r="E42" s="23"/>
      <c r="F42" s="23"/>
      <c r="G42" s="22"/>
      <c r="H42" s="22"/>
      <c r="I42" s="22"/>
      <c r="J42" s="21" t="s">
        <v>10</v>
      </c>
      <c r="K42" s="21">
        <f>SUM(K25:K41)</f>
        <v>682</v>
      </c>
    </row>
    <row r="45" spans="1:11" ht="36">
      <c r="B45" s="71">
        <v>46235</v>
      </c>
      <c r="C45" s="71"/>
      <c r="D45" s="71"/>
      <c r="E45" s="71"/>
      <c r="F45" s="71"/>
      <c r="G45" s="71"/>
      <c r="H45" s="71"/>
      <c r="I45" s="71"/>
      <c r="J45" s="71"/>
    </row>
    <row r="46" spans="1:11">
      <c r="A46" s="1" t="s">
        <v>11</v>
      </c>
      <c r="B46" s="1" t="s">
        <v>0</v>
      </c>
      <c r="C46" s="1" t="s">
        <v>1</v>
      </c>
      <c r="D46" s="1" t="s">
        <v>2</v>
      </c>
      <c r="E46" s="1" t="s">
        <v>3</v>
      </c>
      <c r="F46" s="1" t="s">
        <v>4</v>
      </c>
      <c r="G46" s="1" t="s">
        <v>5</v>
      </c>
      <c r="H46" s="17" t="s">
        <v>21</v>
      </c>
      <c r="I46" s="2" t="s">
        <v>6</v>
      </c>
      <c r="J46" s="3" t="s">
        <v>7</v>
      </c>
      <c r="K46" s="4" t="s">
        <v>6</v>
      </c>
    </row>
    <row r="47" spans="1:11">
      <c r="A47" s="72" t="s">
        <v>14</v>
      </c>
      <c r="B47" s="16"/>
      <c r="C47" s="10"/>
      <c r="D47" s="10"/>
      <c r="E47" s="10"/>
      <c r="F47" s="10"/>
      <c r="G47" s="11"/>
      <c r="H47" s="18"/>
      <c r="I47" s="12"/>
      <c r="J47" s="24" t="s">
        <v>8</v>
      </c>
      <c r="K47" s="14">
        <v>504</v>
      </c>
    </row>
    <row r="48" spans="1:11">
      <c r="A48" s="72"/>
      <c r="B48" s="16"/>
      <c r="C48" s="10"/>
      <c r="D48" s="10"/>
      <c r="E48" s="10"/>
      <c r="F48" s="10"/>
      <c r="G48" s="11"/>
      <c r="H48" s="18"/>
      <c r="I48" s="12"/>
      <c r="J48" s="24" t="s">
        <v>20</v>
      </c>
      <c r="K48" s="14">
        <v>300</v>
      </c>
    </row>
    <row r="49" spans="1:11">
      <c r="A49" s="72"/>
      <c r="B49" s="16"/>
      <c r="C49" s="10"/>
      <c r="D49" s="10"/>
      <c r="E49" s="10"/>
      <c r="F49" s="10"/>
      <c r="G49" s="11"/>
      <c r="H49" s="18"/>
      <c r="I49" s="12"/>
      <c r="J49" s="24"/>
      <c r="K49" s="14"/>
    </row>
    <row r="50" spans="1:11">
      <c r="A50" s="72"/>
      <c r="B50" s="16"/>
      <c r="C50" s="10"/>
      <c r="D50" s="10"/>
      <c r="E50" s="10"/>
      <c r="F50" s="10"/>
      <c r="G50" s="11"/>
      <c r="H50" s="18"/>
      <c r="I50" s="12"/>
      <c r="J50" s="24"/>
      <c r="K50" s="14"/>
    </row>
    <row r="51" spans="1:11">
      <c r="A51" s="72"/>
      <c r="B51" s="16"/>
      <c r="C51" s="10"/>
      <c r="D51" s="10"/>
      <c r="E51" s="10"/>
      <c r="F51" s="10"/>
      <c r="G51" s="11"/>
      <c r="H51" s="18"/>
      <c r="I51" s="12"/>
      <c r="J51" s="24"/>
      <c r="K51" s="14"/>
    </row>
    <row r="52" spans="1:11">
      <c r="A52" s="72"/>
      <c r="B52" s="16"/>
      <c r="C52" s="10"/>
      <c r="D52" s="10"/>
      <c r="E52" s="10"/>
      <c r="F52" s="10"/>
      <c r="G52" s="11"/>
      <c r="H52" s="18"/>
      <c r="I52" s="12"/>
      <c r="J52" s="24"/>
      <c r="K52" s="14"/>
    </row>
    <row r="53" spans="1:11">
      <c r="A53" s="72"/>
      <c r="B53" s="16"/>
      <c r="C53" s="10"/>
      <c r="D53" s="10"/>
      <c r="E53" s="10"/>
      <c r="F53" s="10"/>
      <c r="G53" s="11"/>
      <c r="H53" s="18"/>
      <c r="I53" s="12"/>
      <c r="J53" s="24"/>
      <c r="K53" s="14"/>
    </row>
    <row r="54" spans="1:11">
      <c r="A54" s="72"/>
      <c r="B54" s="16"/>
      <c r="C54" s="10"/>
      <c r="D54" s="10"/>
      <c r="E54" s="10"/>
      <c r="F54" s="10"/>
      <c r="G54" s="11"/>
      <c r="H54" s="18"/>
      <c r="I54" s="12"/>
      <c r="J54" s="24"/>
      <c r="K54" s="14"/>
    </row>
    <row r="55" spans="1:11">
      <c r="A55" s="72"/>
      <c r="B55" s="10"/>
      <c r="C55" s="10"/>
      <c r="D55" s="10"/>
      <c r="E55" s="10"/>
      <c r="F55" s="10"/>
      <c r="G55" s="11"/>
      <c r="H55" s="18"/>
      <c r="I55" s="12"/>
      <c r="J55" s="24"/>
      <c r="K55" s="14"/>
    </row>
    <row r="56" spans="1:11">
      <c r="A56" s="72"/>
      <c r="B56" s="16"/>
      <c r="C56" s="10"/>
      <c r="D56" s="10"/>
      <c r="E56" s="10"/>
      <c r="F56" s="10"/>
      <c r="G56" s="11"/>
      <c r="H56" s="18"/>
      <c r="I56" s="12"/>
      <c r="J56" s="24"/>
      <c r="K56" s="14"/>
    </row>
    <row r="57" spans="1:11">
      <c r="A57" s="72"/>
      <c r="B57" s="16"/>
      <c r="C57" s="10"/>
      <c r="D57" s="10"/>
      <c r="E57" s="10"/>
      <c r="F57" s="10"/>
      <c r="G57" s="11"/>
      <c r="H57" s="18"/>
      <c r="I57" s="12"/>
      <c r="J57" s="24"/>
      <c r="K57" s="14"/>
    </row>
    <row r="58" spans="1:11">
      <c r="A58" s="72"/>
      <c r="B58" s="16"/>
      <c r="C58" s="10"/>
      <c r="D58" s="10"/>
      <c r="E58" s="10"/>
      <c r="F58" s="10"/>
      <c r="G58" s="11"/>
      <c r="H58" s="18"/>
      <c r="I58" s="12"/>
      <c r="J58" s="24"/>
      <c r="K58" s="14"/>
    </row>
    <row r="59" spans="1:11">
      <c r="A59" s="72"/>
      <c r="B59" s="16"/>
      <c r="C59" s="10"/>
      <c r="D59" s="10"/>
      <c r="E59" s="10"/>
      <c r="F59" s="10"/>
      <c r="G59" s="11"/>
      <c r="H59" s="18"/>
      <c r="I59" s="12"/>
      <c r="J59" s="24"/>
      <c r="K59" s="14"/>
    </row>
    <row r="60" spans="1:11">
      <c r="A60" s="72"/>
      <c r="B60" s="10"/>
      <c r="C60" s="10"/>
      <c r="D60" s="10"/>
      <c r="E60" s="10"/>
      <c r="F60" s="10"/>
      <c r="G60" s="11"/>
      <c r="H60" s="18"/>
      <c r="I60" s="12"/>
      <c r="J60" s="24"/>
      <c r="K60" s="14"/>
    </row>
    <row r="61" spans="1:11">
      <c r="A61" s="72"/>
      <c r="B61" s="10"/>
      <c r="C61" s="10"/>
      <c r="D61" s="10"/>
      <c r="E61" s="10"/>
      <c r="F61" s="10"/>
      <c r="G61" s="11"/>
      <c r="H61" s="18"/>
      <c r="I61" s="12"/>
      <c r="J61" s="24"/>
      <c r="K61" s="14"/>
    </row>
    <row r="62" spans="1:11">
      <c r="A62" s="72"/>
      <c r="B62" s="10"/>
      <c r="C62" s="10"/>
      <c r="D62" s="10"/>
      <c r="E62" s="10"/>
      <c r="F62" s="10"/>
      <c r="G62" s="11"/>
      <c r="H62" s="18"/>
      <c r="I62" s="12"/>
      <c r="J62" s="24"/>
      <c r="K62" s="14"/>
    </row>
    <row r="63" spans="1:11">
      <c r="A63" s="72"/>
      <c r="B63" s="10"/>
      <c r="C63" s="10"/>
      <c r="D63" s="10"/>
      <c r="E63" s="10"/>
      <c r="F63" s="10"/>
      <c r="G63" s="11"/>
      <c r="H63" s="18"/>
      <c r="I63" s="12"/>
      <c r="J63" s="24"/>
      <c r="K63" s="14"/>
    </row>
    <row r="64" spans="1:11">
      <c r="A64" s="72"/>
      <c r="B64" s="22"/>
      <c r="C64" s="22"/>
      <c r="D64" s="23"/>
      <c r="E64" s="23"/>
      <c r="F64" s="23"/>
      <c r="G64" s="30"/>
      <c r="H64" s="22"/>
      <c r="I64" s="27"/>
      <c r="J64" s="21" t="s">
        <v>10</v>
      </c>
      <c r="K64" s="21">
        <f>SUM(K47:K63)</f>
        <v>804</v>
      </c>
    </row>
    <row r="67" spans="1:11" ht="36">
      <c r="B67" s="71">
        <v>46235</v>
      </c>
      <c r="C67" s="71"/>
      <c r="D67" s="71"/>
      <c r="E67" s="71"/>
      <c r="F67" s="71"/>
      <c r="G67" s="71"/>
      <c r="H67" s="71"/>
      <c r="I67" s="71"/>
      <c r="J67" s="71"/>
    </row>
    <row r="68" spans="1:11">
      <c r="A68" s="1" t="s">
        <v>11</v>
      </c>
      <c r="B68" s="1" t="s">
        <v>0</v>
      </c>
      <c r="C68" s="1" t="s">
        <v>1</v>
      </c>
      <c r="D68" s="1" t="s">
        <v>2</v>
      </c>
      <c r="E68" s="1" t="s">
        <v>3</v>
      </c>
      <c r="F68" s="1" t="s">
        <v>4</v>
      </c>
      <c r="G68" s="1" t="s">
        <v>5</v>
      </c>
      <c r="H68" s="17" t="s">
        <v>21</v>
      </c>
      <c r="I68" s="2" t="s">
        <v>6</v>
      </c>
      <c r="J68" s="3" t="s">
        <v>7</v>
      </c>
      <c r="K68" s="4" t="s">
        <v>6</v>
      </c>
    </row>
    <row r="69" spans="1:11">
      <c r="A69" s="72" t="s">
        <v>15</v>
      </c>
      <c r="B69" s="16"/>
      <c r="C69" s="10"/>
      <c r="D69" s="10"/>
      <c r="E69" s="10"/>
      <c r="F69" s="10"/>
      <c r="G69" s="11"/>
      <c r="H69" s="18"/>
      <c r="I69" s="12"/>
      <c r="J69" t="s">
        <v>8</v>
      </c>
      <c r="K69" s="8">
        <v>504</v>
      </c>
    </row>
    <row r="70" spans="1:11">
      <c r="A70" s="72"/>
      <c r="B70" s="16"/>
      <c r="C70" s="10"/>
      <c r="D70" s="10"/>
      <c r="E70" s="10"/>
      <c r="F70" s="10"/>
      <c r="G70" s="11"/>
      <c r="H70" s="18"/>
      <c r="I70" s="12"/>
      <c r="J70" t="s">
        <v>20</v>
      </c>
      <c r="K70" s="8">
        <v>300</v>
      </c>
    </row>
    <row r="71" spans="1:11">
      <c r="A71" s="72"/>
      <c r="B71" s="16"/>
      <c r="C71" s="10"/>
      <c r="D71" s="10"/>
      <c r="E71" s="10"/>
      <c r="F71" s="10"/>
      <c r="G71" s="11"/>
      <c r="H71" s="18"/>
      <c r="I71" s="12"/>
      <c r="K71" s="8"/>
    </row>
    <row r="72" spans="1:11">
      <c r="A72" s="72"/>
      <c r="B72" s="16"/>
      <c r="C72" s="10"/>
      <c r="D72" s="10"/>
      <c r="E72" s="10"/>
      <c r="F72" s="10"/>
      <c r="G72" s="11"/>
      <c r="H72" s="18"/>
      <c r="I72" s="12"/>
      <c r="K72" s="14"/>
    </row>
    <row r="73" spans="1:11">
      <c r="A73" s="72"/>
      <c r="B73" s="16"/>
      <c r="C73" s="10"/>
      <c r="D73" s="10"/>
      <c r="E73" s="10"/>
      <c r="F73" s="10"/>
      <c r="G73" s="11"/>
      <c r="H73" s="18"/>
      <c r="I73" s="12"/>
      <c r="K73" s="8"/>
    </row>
    <row r="74" spans="1:11">
      <c r="A74" s="72"/>
      <c r="B74" s="16"/>
      <c r="C74" s="10"/>
      <c r="D74" s="10"/>
      <c r="E74" s="10"/>
      <c r="F74" s="10"/>
      <c r="G74" s="11"/>
      <c r="H74" s="18"/>
      <c r="I74" s="12"/>
      <c r="K74" s="8"/>
    </row>
    <row r="75" spans="1:11">
      <c r="A75" s="72"/>
      <c r="B75" s="9"/>
      <c r="C75" s="10"/>
      <c r="D75" s="5"/>
      <c r="E75" s="10"/>
      <c r="F75" s="5"/>
      <c r="G75" s="11"/>
      <c r="H75" s="11"/>
      <c r="I75" s="13"/>
      <c r="K75" s="8"/>
    </row>
    <row r="76" spans="1:11">
      <c r="A76" s="72"/>
      <c r="B76" s="9"/>
      <c r="C76" s="10"/>
      <c r="D76" s="5"/>
      <c r="E76" s="10"/>
      <c r="F76" s="5"/>
      <c r="G76" s="11"/>
      <c r="H76" s="11"/>
      <c r="I76" s="13"/>
      <c r="K76" s="8"/>
    </row>
    <row r="77" spans="1:11">
      <c r="A77" s="72"/>
      <c r="B77" s="9"/>
      <c r="C77" s="10"/>
      <c r="D77" s="5"/>
      <c r="E77" s="10"/>
      <c r="F77" s="5"/>
      <c r="G77" s="11"/>
      <c r="H77" s="11"/>
      <c r="I77" s="13"/>
      <c r="K77" s="8"/>
    </row>
    <row r="78" spans="1:11">
      <c r="A78" s="72"/>
      <c r="B78" s="9"/>
      <c r="C78" s="10"/>
      <c r="D78" s="5"/>
      <c r="E78" s="10"/>
      <c r="F78" s="5"/>
      <c r="G78" s="11"/>
      <c r="H78" s="11"/>
      <c r="I78" s="13"/>
      <c r="K78" s="8"/>
    </row>
    <row r="79" spans="1:11">
      <c r="A79" s="72"/>
      <c r="B79" s="9"/>
      <c r="C79" s="10"/>
      <c r="D79" s="5"/>
      <c r="E79" s="10"/>
      <c r="F79" s="5"/>
      <c r="G79" s="11"/>
      <c r="H79" s="11"/>
      <c r="I79" s="13"/>
      <c r="K79" s="8"/>
    </row>
    <row r="80" spans="1:11">
      <c r="A80" s="72"/>
      <c r="B80" s="9"/>
      <c r="C80" s="10"/>
      <c r="D80" s="5"/>
      <c r="E80" s="10"/>
      <c r="F80" s="5"/>
      <c r="G80" s="11"/>
      <c r="H80" s="11"/>
      <c r="I80" s="13"/>
      <c r="K80" s="14"/>
    </row>
    <row r="81" spans="1:11">
      <c r="A81" s="72"/>
      <c r="B81" s="9"/>
      <c r="C81" s="10"/>
      <c r="D81" s="5"/>
      <c r="E81" s="10"/>
      <c r="F81" s="5"/>
      <c r="G81" s="11"/>
      <c r="H81" s="11"/>
      <c r="I81" s="13"/>
      <c r="K81" s="8"/>
    </row>
    <row r="82" spans="1:11">
      <c r="A82" s="72"/>
      <c r="B82" s="5"/>
      <c r="C82" s="10"/>
      <c r="D82" s="5"/>
      <c r="E82" s="10"/>
      <c r="F82" s="5"/>
      <c r="G82" s="11"/>
      <c r="H82" s="11"/>
      <c r="I82" s="13"/>
      <c r="K82" s="8"/>
    </row>
    <row r="83" spans="1:11">
      <c r="A83" s="72"/>
      <c r="B83" s="5"/>
      <c r="C83" s="10"/>
      <c r="D83" s="5"/>
      <c r="E83" s="10"/>
      <c r="F83" s="5"/>
      <c r="G83" s="11"/>
      <c r="H83" s="11"/>
      <c r="I83" s="13"/>
      <c r="K83" s="8"/>
    </row>
    <row r="84" spans="1:11">
      <c r="A84" s="72"/>
      <c r="B84" s="5"/>
      <c r="C84" s="10"/>
      <c r="D84" s="5"/>
      <c r="E84" s="10"/>
      <c r="F84" s="5"/>
      <c r="G84" s="11"/>
      <c r="H84" s="11"/>
      <c r="I84" s="13"/>
      <c r="K84" s="8"/>
    </row>
    <row r="85" spans="1:11">
      <c r="A85" s="72"/>
      <c r="B85" s="5"/>
      <c r="C85" s="10"/>
      <c r="D85" s="5"/>
      <c r="E85" s="10"/>
      <c r="F85" s="5"/>
      <c r="G85" s="11"/>
      <c r="H85" s="11"/>
      <c r="I85" s="13"/>
      <c r="K85" s="8"/>
    </row>
    <row r="86" spans="1:11">
      <c r="A86" s="72"/>
      <c r="B86" s="22"/>
      <c r="C86" s="22"/>
      <c r="D86" s="23"/>
      <c r="E86" s="23"/>
      <c r="F86" s="23"/>
      <c r="G86" s="30"/>
      <c r="H86" s="22"/>
      <c r="I86" s="27"/>
      <c r="J86" s="21" t="s">
        <v>10</v>
      </c>
      <c r="K86" s="21">
        <f>SUM(K69:K85)</f>
        <v>804</v>
      </c>
    </row>
    <row r="89" spans="1:11" ht="36">
      <c r="B89" s="71">
        <v>46235</v>
      </c>
      <c r="C89" s="71"/>
      <c r="D89" s="71"/>
      <c r="E89" s="71"/>
      <c r="F89" s="71"/>
      <c r="G89" s="71"/>
      <c r="H89" s="71"/>
      <c r="I89" s="71"/>
      <c r="J89" s="71"/>
    </row>
    <row r="90" spans="1:11">
      <c r="A90" s="1" t="s">
        <v>11</v>
      </c>
      <c r="B90" s="1" t="s">
        <v>0</v>
      </c>
      <c r="C90" s="1" t="s">
        <v>1</v>
      </c>
      <c r="D90" s="1" t="s">
        <v>2</v>
      </c>
      <c r="E90" s="1" t="s">
        <v>3</v>
      </c>
      <c r="F90" s="1" t="s">
        <v>4</v>
      </c>
      <c r="G90" s="1" t="s">
        <v>5</v>
      </c>
      <c r="H90" s="17" t="s">
        <v>21</v>
      </c>
      <c r="I90" s="2" t="s">
        <v>6</v>
      </c>
      <c r="J90" s="3" t="s">
        <v>7</v>
      </c>
      <c r="K90" s="4" t="s">
        <v>6</v>
      </c>
    </row>
    <row r="91" spans="1:11">
      <c r="A91" s="72" t="s">
        <v>16</v>
      </c>
      <c r="B91" s="16"/>
      <c r="C91" s="10"/>
      <c r="D91" s="10"/>
      <c r="E91" s="10"/>
      <c r="F91" s="10"/>
      <c r="G91" s="12"/>
      <c r="H91" s="18"/>
      <c r="I91" s="12"/>
      <c r="J91" t="s">
        <v>8</v>
      </c>
      <c r="K91" s="8">
        <v>504</v>
      </c>
    </row>
    <row r="92" spans="1:11">
      <c r="A92" s="72"/>
      <c r="B92" s="16"/>
      <c r="C92" s="10"/>
      <c r="D92" s="10"/>
      <c r="E92" s="10"/>
      <c r="F92" s="10"/>
      <c r="G92" s="12"/>
      <c r="H92" s="18"/>
      <c r="I92" s="12"/>
      <c r="J92" t="s">
        <v>20</v>
      </c>
      <c r="K92" s="8">
        <v>300</v>
      </c>
    </row>
    <row r="93" spans="1:11">
      <c r="A93" s="72"/>
      <c r="B93" s="16"/>
      <c r="C93" s="10"/>
      <c r="D93" s="10"/>
      <c r="E93" s="10"/>
      <c r="F93" s="10"/>
      <c r="G93" s="12"/>
      <c r="H93" s="18"/>
      <c r="I93" s="12"/>
      <c r="K93" s="8"/>
    </row>
    <row r="94" spans="1:11">
      <c r="A94" s="72"/>
      <c r="B94" s="16"/>
      <c r="C94" s="10"/>
      <c r="D94" s="10"/>
      <c r="E94" s="10"/>
      <c r="F94" s="10"/>
      <c r="G94" s="12"/>
      <c r="H94" s="18"/>
      <c r="I94" s="12"/>
      <c r="K94" s="14"/>
    </row>
    <row r="95" spans="1:11">
      <c r="A95" s="72"/>
      <c r="B95" s="16"/>
      <c r="C95" s="10"/>
      <c r="D95" s="10"/>
      <c r="E95" s="10"/>
      <c r="F95" s="10"/>
      <c r="G95" s="12"/>
      <c r="H95" s="18"/>
      <c r="I95" s="12"/>
      <c r="K95" s="8"/>
    </row>
    <row r="96" spans="1:11">
      <c r="A96" s="72"/>
      <c r="B96" s="16"/>
      <c r="C96" s="10"/>
      <c r="D96" s="10"/>
      <c r="E96" s="10"/>
      <c r="F96" s="10"/>
      <c r="G96" s="12"/>
      <c r="H96" s="18"/>
      <c r="I96" s="12"/>
      <c r="K96" s="8"/>
    </row>
    <row r="97" spans="1:11">
      <c r="A97" s="72"/>
      <c r="B97" s="16"/>
      <c r="C97" s="10"/>
      <c r="D97" s="10"/>
      <c r="E97" s="10"/>
      <c r="F97" s="10"/>
      <c r="G97" s="12"/>
      <c r="H97" s="18"/>
      <c r="I97" s="12"/>
      <c r="K97" s="8"/>
    </row>
    <row r="98" spans="1:11">
      <c r="A98" s="72"/>
      <c r="B98" s="16"/>
      <c r="C98" s="10"/>
      <c r="D98" s="10"/>
      <c r="E98" s="10"/>
      <c r="F98" s="10"/>
      <c r="G98" s="12"/>
      <c r="H98" s="18"/>
      <c r="I98" s="12"/>
      <c r="K98" s="8"/>
    </row>
    <row r="99" spans="1:11">
      <c r="A99" s="72"/>
      <c r="B99" s="16"/>
      <c r="C99" s="10"/>
      <c r="D99" s="10"/>
      <c r="E99" s="10"/>
      <c r="F99" s="10"/>
      <c r="G99" s="12"/>
      <c r="H99" s="18"/>
      <c r="I99" s="12"/>
      <c r="K99" s="8"/>
    </row>
    <row r="100" spans="1:11">
      <c r="A100" s="72"/>
      <c r="B100" s="16"/>
      <c r="C100" s="10"/>
      <c r="D100" s="10"/>
      <c r="E100" s="10"/>
      <c r="F100" s="10"/>
      <c r="G100" s="12"/>
      <c r="H100" s="18"/>
      <c r="I100" s="12"/>
      <c r="K100" s="8"/>
    </row>
    <row r="101" spans="1:11">
      <c r="A101" s="72"/>
      <c r="B101" s="16"/>
      <c r="C101" s="10"/>
      <c r="D101" s="10"/>
      <c r="E101" s="10"/>
      <c r="F101" s="10"/>
      <c r="G101" s="12"/>
      <c r="H101" s="18"/>
      <c r="I101" s="12"/>
      <c r="K101" s="8"/>
    </row>
    <row r="102" spans="1:11">
      <c r="A102" s="72"/>
      <c r="B102" s="16"/>
      <c r="C102" s="10"/>
      <c r="D102" s="10"/>
      <c r="E102" s="10"/>
      <c r="F102" s="10"/>
      <c r="G102" s="12"/>
      <c r="H102" s="18"/>
      <c r="I102" s="12"/>
      <c r="K102" s="14"/>
    </row>
    <row r="103" spans="1:11">
      <c r="A103" s="72"/>
      <c r="B103" s="16"/>
      <c r="C103" s="10"/>
      <c r="D103" s="10"/>
      <c r="E103" s="10"/>
      <c r="F103" s="10"/>
      <c r="G103" s="12"/>
      <c r="H103" s="18"/>
      <c r="I103" s="12"/>
      <c r="K103" s="8"/>
    </row>
    <row r="104" spans="1:11">
      <c r="A104" s="72"/>
      <c r="B104" s="16"/>
      <c r="C104" s="10"/>
      <c r="D104" s="10"/>
      <c r="E104" s="10"/>
      <c r="F104" s="10"/>
      <c r="G104" s="12"/>
      <c r="H104" s="18"/>
      <c r="I104" s="12"/>
      <c r="K104" s="8"/>
    </row>
    <row r="105" spans="1:11">
      <c r="A105" s="72"/>
      <c r="B105" s="10"/>
      <c r="C105" s="10"/>
      <c r="D105" s="10"/>
      <c r="E105" s="10"/>
      <c r="F105" s="10"/>
      <c r="G105" s="12"/>
      <c r="H105" s="18"/>
      <c r="I105" s="12"/>
      <c r="K105" s="8"/>
    </row>
    <row r="106" spans="1:11">
      <c r="A106" s="72"/>
      <c r="B106" s="10"/>
      <c r="C106" s="19"/>
      <c r="D106" s="10"/>
      <c r="E106" s="10"/>
      <c r="F106" s="10"/>
      <c r="G106" s="12"/>
      <c r="H106" s="18"/>
      <c r="I106" s="12"/>
      <c r="K106" s="8"/>
    </row>
    <row r="107" spans="1:11">
      <c r="A107" s="72"/>
      <c r="B107" s="10"/>
      <c r="C107" s="19"/>
      <c r="D107" s="10"/>
      <c r="E107" s="10"/>
      <c r="F107" s="10"/>
      <c r="G107" s="12"/>
      <c r="H107" s="18"/>
      <c r="I107" s="12"/>
      <c r="K107" s="8"/>
    </row>
    <row r="108" spans="1:11">
      <c r="A108" s="72"/>
      <c r="B108" s="20"/>
      <c r="C108" s="20"/>
      <c r="D108" s="25"/>
      <c r="E108" s="25"/>
      <c r="F108" s="25"/>
      <c r="G108" s="29"/>
      <c r="H108" s="20"/>
      <c r="I108" s="26"/>
      <c r="J108" s="21" t="s">
        <v>10</v>
      </c>
      <c r="K108" s="21">
        <f>SUM(K91:K107)</f>
        <v>804</v>
      </c>
    </row>
    <row r="111" spans="1:11" ht="36">
      <c r="B111" s="71">
        <v>46235</v>
      </c>
      <c r="C111" s="71"/>
      <c r="D111" s="71"/>
      <c r="E111" s="71"/>
      <c r="F111" s="71"/>
      <c r="G111" s="71"/>
      <c r="H111" s="71"/>
      <c r="I111" s="71"/>
      <c r="J111" s="71"/>
    </row>
    <row r="112" spans="1:11">
      <c r="A112" s="1" t="s">
        <v>11</v>
      </c>
      <c r="B112" s="1" t="s">
        <v>0</v>
      </c>
      <c r="C112" s="1" t="s">
        <v>1</v>
      </c>
      <c r="D112" s="1" t="s">
        <v>2</v>
      </c>
      <c r="E112" s="1" t="s">
        <v>3</v>
      </c>
      <c r="F112" s="1" t="s">
        <v>4</v>
      </c>
      <c r="G112" s="1" t="s">
        <v>5</v>
      </c>
      <c r="H112" s="17" t="s">
        <v>21</v>
      </c>
      <c r="I112" s="2" t="s">
        <v>6</v>
      </c>
      <c r="J112" s="3" t="s">
        <v>7</v>
      </c>
      <c r="K112" s="4" t="s">
        <v>6</v>
      </c>
    </row>
    <row r="113" spans="1:11">
      <c r="A113" s="72" t="s">
        <v>17</v>
      </c>
      <c r="B113" s="16"/>
      <c r="C113" s="10"/>
      <c r="D113" s="10"/>
      <c r="E113" s="10"/>
      <c r="F113" s="10"/>
      <c r="G113" s="11"/>
      <c r="H113" s="11"/>
      <c r="I113" s="12"/>
      <c r="J113" t="s">
        <v>8</v>
      </c>
      <c r="K113" s="8">
        <v>504</v>
      </c>
    </row>
    <row r="114" spans="1:11">
      <c r="A114" s="72"/>
      <c r="B114" s="16"/>
      <c r="C114" s="10"/>
      <c r="D114" s="10"/>
      <c r="E114" s="10"/>
      <c r="F114" s="10"/>
      <c r="G114" s="11"/>
      <c r="H114" s="11"/>
      <c r="I114" s="12"/>
      <c r="J114" t="s">
        <v>20</v>
      </c>
      <c r="K114" s="8">
        <v>300</v>
      </c>
    </row>
    <row r="115" spans="1:11">
      <c r="A115" s="72"/>
      <c r="B115" s="16"/>
      <c r="C115" s="10"/>
      <c r="D115" s="10"/>
      <c r="E115" s="10"/>
      <c r="F115" s="10"/>
      <c r="G115" s="11"/>
      <c r="H115" s="11"/>
      <c r="I115" s="12"/>
      <c r="K115" s="8"/>
    </row>
    <row r="116" spans="1:11">
      <c r="A116" s="72"/>
      <c r="B116" s="16"/>
      <c r="C116" s="10"/>
      <c r="D116" s="10"/>
      <c r="E116" s="10"/>
      <c r="F116" s="10"/>
      <c r="G116" s="11"/>
      <c r="H116" s="11"/>
      <c r="I116" s="12"/>
      <c r="K116" s="14"/>
    </row>
    <row r="117" spans="1:11">
      <c r="A117" s="72"/>
      <c r="B117" s="16"/>
      <c r="C117" s="10"/>
      <c r="D117" s="10"/>
      <c r="E117" s="10"/>
      <c r="F117" s="10"/>
      <c r="G117" s="11"/>
      <c r="H117" s="11"/>
      <c r="I117" s="12"/>
      <c r="K117" s="8"/>
    </row>
    <row r="118" spans="1:11">
      <c r="A118" s="72"/>
      <c r="B118" s="16"/>
      <c r="C118" s="10"/>
      <c r="D118" s="10"/>
      <c r="E118" s="10"/>
      <c r="F118" s="10"/>
      <c r="G118" s="11"/>
      <c r="H118" s="11"/>
      <c r="I118" s="12"/>
      <c r="K118" s="8"/>
    </row>
    <row r="119" spans="1:11">
      <c r="A119" s="72"/>
      <c r="B119" s="16"/>
      <c r="C119" s="10"/>
      <c r="D119" s="10"/>
      <c r="E119" s="10"/>
      <c r="F119" s="10"/>
      <c r="G119" s="11"/>
      <c r="H119" s="11"/>
      <c r="I119" s="12"/>
      <c r="K119" s="8"/>
    </row>
    <row r="120" spans="1:11">
      <c r="A120" s="72"/>
      <c r="B120" s="16"/>
      <c r="C120" s="10"/>
      <c r="D120" s="10"/>
      <c r="E120" s="10"/>
      <c r="F120" s="10"/>
      <c r="G120" s="11"/>
      <c r="H120" s="11"/>
      <c r="I120" s="12"/>
      <c r="K120" s="8"/>
    </row>
    <row r="121" spans="1:11">
      <c r="A121" s="72"/>
      <c r="B121" s="10"/>
      <c r="C121" s="10"/>
      <c r="D121" s="10"/>
      <c r="E121" s="10"/>
      <c r="F121" s="10"/>
      <c r="G121" s="11"/>
      <c r="H121" s="11"/>
      <c r="I121" s="12"/>
      <c r="K121" s="8"/>
    </row>
    <row r="122" spans="1:11">
      <c r="A122" s="72"/>
      <c r="B122" s="16"/>
      <c r="C122" s="10"/>
      <c r="D122" s="10"/>
      <c r="E122" s="10"/>
      <c r="F122" s="10"/>
      <c r="G122" s="11"/>
      <c r="H122" s="11"/>
      <c r="I122" s="12"/>
      <c r="K122" s="8"/>
    </row>
    <row r="123" spans="1:11">
      <c r="A123" s="72"/>
      <c r="B123" s="16"/>
      <c r="C123" s="10"/>
      <c r="D123" s="10"/>
      <c r="E123" s="10"/>
      <c r="F123" s="10"/>
      <c r="G123" s="11"/>
      <c r="H123" s="11"/>
      <c r="I123" s="12"/>
      <c r="K123" s="8"/>
    </row>
    <row r="124" spans="1:11">
      <c r="A124" s="72"/>
      <c r="B124" s="16"/>
      <c r="C124" s="10"/>
      <c r="D124" s="10"/>
      <c r="E124" s="10"/>
      <c r="F124" s="10"/>
      <c r="G124" s="11"/>
      <c r="H124" s="11"/>
      <c r="I124" s="12"/>
      <c r="K124" s="14"/>
    </row>
    <row r="125" spans="1:11">
      <c r="A125" s="72"/>
      <c r="B125" s="16"/>
      <c r="C125" s="10"/>
      <c r="D125" s="10"/>
      <c r="E125" s="10"/>
      <c r="F125" s="10"/>
      <c r="G125" s="11"/>
      <c r="H125" s="11"/>
      <c r="I125" s="12"/>
      <c r="K125" s="8"/>
    </row>
    <row r="126" spans="1:11">
      <c r="A126" s="72"/>
      <c r="B126" s="10"/>
      <c r="C126" s="10"/>
      <c r="D126" s="10"/>
      <c r="E126" s="10"/>
      <c r="F126" s="10"/>
      <c r="G126" s="11"/>
      <c r="H126" s="11"/>
      <c r="I126" s="12"/>
      <c r="K126" s="8"/>
    </row>
    <row r="127" spans="1:11">
      <c r="A127" s="72"/>
      <c r="B127" s="10"/>
      <c r="C127" s="10"/>
      <c r="D127" s="10"/>
      <c r="E127" s="10"/>
      <c r="F127" s="10"/>
      <c r="G127" s="11"/>
      <c r="H127" s="11"/>
      <c r="I127" s="12"/>
      <c r="K127" s="8"/>
    </row>
    <row r="128" spans="1:11">
      <c r="A128" s="72"/>
      <c r="B128" s="10"/>
      <c r="C128" s="10"/>
      <c r="D128" s="10"/>
      <c r="E128" s="10"/>
      <c r="F128" s="10"/>
      <c r="G128" s="11"/>
      <c r="H128" s="11"/>
      <c r="I128" s="12"/>
      <c r="K128" s="8"/>
    </row>
    <row r="129" spans="1:11">
      <c r="A129" s="72"/>
      <c r="B129" s="10"/>
      <c r="C129" s="10"/>
      <c r="D129" s="10"/>
      <c r="E129" s="10"/>
      <c r="F129" s="10"/>
      <c r="G129" s="11"/>
      <c r="H129" s="11"/>
      <c r="I129" s="12"/>
      <c r="K129" s="8"/>
    </row>
    <row r="130" spans="1:11">
      <c r="A130" s="72"/>
      <c r="B130" s="20"/>
      <c r="C130" s="20"/>
      <c r="D130" s="25"/>
      <c r="E130" s="25"/>
      <c r="F130" s="25"/>
      <c r="G130" s="29"/>
      <c r="H130" s="20"/>
      <c r="I130" s="26"/>
      <c r="J130" s="21" t="s">
        <v>10</v>
      </c>
      <c r="K130" s="21">
        <f>SUM(K113:K129)</f>
        <v>804</v>
      </c>
    </row>
    <row r="133" spans="1:11" ht="36">
      <c r="B133" s="71">
        <v>46235</v>
      </c>
      <c r="C133" s="71"/>
      <c r="D133" s="71"/>
      <c r="E133" s="71"/>
      <c r="F133" s="71"/>
      <c r="G133" s="71"/>
      <c r="H133" s="71"/>
      <c r="I133" s="71"/>
      <c r="J133" s="71"/>
    </row>
    <row r="134" spans="1:11">
      <c r="A134" s="1" t="s">
        <v>11</v>
      </c>
      <c r="B134" s="1" t="s">
        <v>0</v>
      </c>
      <c r="C134" s="1" t="s">
        <v>1</v>
      </c>
      <c r="D134" s="1" t="s">
        <v>2</v>
      </c>
      <c r="E134" s="1" t="s">
        <v>3</v>
      </c>
      <c r="F134" s="1" t="s">
        <v>4</v>
      </c>
      <c r="G134" s="1" t="s">
        <v>5</v>
      </c>
      <c r="H134" s="17" t="s">
        <v>21</v>
      </c>
      <c r="I134" s="2" t="s">
        <v>6</v>
      </c>
      <c r="J134" s="3" t="s">
        <v>7</v>
      </c>
      <c r="K134" s="4" t="s">
        <v>6</v>
      </c>
    </row>
    <row r="135" spans="1:11">
      <c r="A135" s="72" t="s">
        <v>18</v>
      </c>
      <c r="B135" s="16"/>
      <c r="C135" s="10"/>
      <c r="D135" s="10"/>
      <c r="E135" s="10"/>
      <c r="F135" s="10"/>
      <c r="G135" s="11"/>
      <c r="H135" s="18"/>
      <c r="I135" s="12"/>
      <c r="J135" t="s">
        <v>8</v>
      </c>
      <c r="K135" s="8">
        <v>504</v>
      </c>
    </row>
    <row r="136" spans="1:11">
      <c r="A136" s="72"/>
      <c r="B136" s="16"/>
      <c r="C136" s="10"/>
      <c r="D136" s="10"/>
      <c r="E136" s="10"/>
      <c r="F136" s="10"/>
      <c r="G136" s="11"/>
      <c r="H136" s="18"/>
      <c r="I136" s="12"/>
      <c r="J136" t="s">
        <v>20</v>
      </c>
      <c r="K136" s="8">
        <v>300</v>
      </c>
    </row>
    <row r="137" spans="1:11">
      <c r="A137" s="72"/>
      <c r="B137" s="16"/>
      <c r="C137" s="10"/>
      <c r="D137" s="10"/>
      <c r="E137" s="10"/>
      <c r="F137" s="10"/>
      <c r="G137" s="11"/>
      <c r="H137" s="18"/>
      <c r="I137" s="12"/>
      <c r="K137" s="8"/>
    </row>
    <row r="138" spans="1:11">
      <c r="A138" s="72"/>
      <c r="B138" s="16"/>
      <c r="C138" s="10"/>
      <c r="D138" s="10"/>
      <c r="E138" s="10"/>
      <c r="F138" s="10"/>
      <c r="G138" s="11"/>
      <c r="H138" s="18"/>
      <c r="I138" s="12"/>
      <c r="K138" s="14"/>
    </row>
    <row r="139" spans="1:11">
      <c r="A139" s="72"/>
      <c r="B139" s="16"/>
      <c r="C139" s="10"/>
      <c r="D139" s="10"/>
      <c r="E139" s="10"/>
      <c r="F139" s="10"/>
      <c r="G139" s="11"/>
      <c r="H139" s="18"/>
      <c r="I139" s="12"/>
      <c r="K139" s="8"/>
    </row>
    <row r="140" spans="1:11">
      <c r="A140" s="72"/>
      <c r="B140" s="16"/>
      <c r="C140" s="10"/>
      <c r="D140" s="10"/>
      <c r="E140" s="10"/>
      <c r="F140" s="10"/>
      <c r="G140" s="11"/>
      <c r="H140" s="18"/>
      <c r="I140" s="12"/>
      <c r="K140" s="8"/>
    </row>
    <row r="141" spans="1:11">
      <c r="A141" s="72"/>
      <c r="B141" s="16"/>
      <c r="C141" s="10"/>
      <c r="D141" s="10"/>
      <c r="E141" s="10"/>
      <c r="F141" s="10"/>
      <c r="G141" s="11"/>
      <c r="H141" s="18"/>
      <c r="I141" s="12"/>
      <c r="K141" s="8"/>
    </row>
    <row r="142" spans="1:11">
      <c r="A142" s="72"/>
      <c r="B142" s="16"/>
      <c r="C142" s="10"/>
      <c r="D142" s="10"/>
      <c r="E142" s="10"/>
      <c r="F142" s="10"/>
      <c r="G142" s="11"/>
      <c r="H142" s="18"/>
      <c r="I142" s="12"/>
      <c r="K142" s="8"/>
    </row>
    <row r="143" spans="1:11">
      <c r="A143" s="72"/>
      <c r="B143" s="16"/>
      <c r="C143" s="10"/>
      <c r="D143" s="10"/>
      <c r="E143" s="10"/>
      <c r="F143" s="10"/>
      <c r="G143" s="11"/>
      <c r="H143" s="18"/>
      <c r="I143" s="12"/>
      <c r="K143" s="8"/>
    </row>
    <row r="144" spans="1:11">
      <c r="A144" s="72"/>
      <c r="B144" s="16"/>
      <c r="C144" s="10"/>
      <c r="D144" s="10"/>
      <c r="E144" s="10"/>
      <c r="F144" s="10"/>
      <c r="G144" s="11"/>
      <c r="H144" s="18"/>
      <c r="I144" s="12"/>
      <c r="K144" s="8"/>
    </row>
    <row r="145" spans="1:11">
      <c r="A145" s="72"/>
      <c r="B145" s="16"/>
      <c r="C145" s="10"/>
      <c r="D145" s="10"/>
      <c r="E145" s="10"/>
      <c r="F145" s="10"/>
      <c r="G145" s="11"/>
      <c r="H145" s="18"/>
      <c r="I145" s="12"/>
      <c r="K145" s="8"/>
    </row>
    <row r="146" spans="1:11">
      <c r="A146" s="72"/>
      <c r="B146" s="16"/>
      <c r="C146" s="10"/>
      <c r="D146" s="10"/>
      <c r="E146" s="10"/>
      <c r="F146" s="10"/>
      <c r="G146" s="31"/>
      <c r="H146" s="18"/>
      <c r="I146" s="12"/>
      <c r="K146" s="14"/>
    </row>
    <row r="147" spans="1:11">
      <c r="A147" s="72"/>
      <c r="B147" s="16"/>
      <c r="C147" s="10"/>
      <c r="D147" s="10"/>
      <c r="E147" s="10"/>
      <c r="F147" s="10"/>
      <c r="G147" s="11"/>
      <c r="H147" s="18"/>
      <c r="I147" s="12"/>
      <c r="K147" s="8"/>
    </row>
    <row r="148" spans="1:11">
      <c r="A148" s="72"/>
      <c r="B148" s="16"/>
      <c r="C148" s="10"/>
      <c r="D148" s="10"/>
      <c r="E148" s="10"/>
      <c r="F148" s="10"/>
      <c r="G148" s="11"/>
      <c r="H148" s="18"/>
      <c r="I148" s="12"/>
      <c r="K148" s="8"/>
    </row>
    <row r="149" spans="1:11">
      <c r="A149" s="72"/>
      <c r="B149" s="16"/>
      <c r="C149" s="10"/>
      <c r="D149" s="10"/>
      <c r="E149" s="10"/>
      <c r="F149" s="10"/>
      <c r="G149" s="11"/>
      <c r="H149" s="18"/>
      <c r="I149" s="12"/>
      <c r="K149" s="8"/>
    </row>
    <row r="150" spans="1:11">
      <c r="A150" s="72"/>
      <c r="B150" s="16"/>
      <c r="C150" s="10"/>
      <c r="D150" s="10"/>
      <c r="E150" s="10"/>
      <c r="F150" s="10"/>
      <c r="G150" s="11"/>
      <c r="H150" s="18"/>
      <c r="I150" s="12"/>
      <c r="K150" s="8"/>
    </row>
    <row r="151" spans="1:11">
      <c r="A151" s="72"/>
      <c r="B151" s="16"/>
      <c r="C151" s="10"/>
      <c r="D151" s="10"/>
      <c r="E151" s="10"/>
      <c r="F151" s="10"/>
      <c r="G151" s="11"/>
      <c r="H151" s="18"/>
      <c r="I151" s="12"/>
      <c r="K151" s="8"/>
    </row>
    <row r="152" spans="1:11">
      <c r="A152" s="72"/>
      <c r="B152" s="23"/>
      <c r="C152" s="23"/>
      <c r="D152" s="23"/>
      <c r="E152" s="23"/>
      <c r="F152" s="23"/>
      <c r="G152" s="30"/>
      <c r="H152" s="23"/>
      <c r="I152" s="27"/>
      <c r="J152" s="21" t="s">
        <v>10</v>
      </c>
      <c r="K152" s="21">
        <f>SUM(K135:K151)</f>
        <v>804</v>
      </c>
    </row>
    <row r="155" spans="1:11" ht="36">
      <c r="B155" s="71">
        <v>46235</v>
      </c>
      <c r="C155" s="71"/>
      <c r="D155" s="71"/>
      <c r="E155" s="71"/>
      <c r="F155" s="71"/>
      <c r="G155" s="71"/>
      <c r="H155" s="71"/>
      <c r="I155" s="71"/>
      <c r="J155" s="71"/>
    </row>
    <row r="156" spans="1:11">
      <c r="A156" s="1" t="s">
        <v>11</v>
      </c>
      <c r="B156" s="1" t="s">
        <v>0</v>
      </c>
      <c r="C156" s="1" t="s">
        <v>1</v>
      </c>
      <c r="D156" s="1" t="s">
        <v>2</v>
      </c>
      <c r="E156" s="1" t="s">
        <v>3</v>
      </c>
      <c r="F156" s="1" t="s">
        <v>4</v>
      </c>
      <c r="G156" s="1" t="s">
        <v>5</v>
      </c>
      <c r="H156" s="17" t="s">
        <v>21</v>
      </c>
      <c r="I156" s="2" t="s">
        <v>6</v>
      </c>
      <c r="J156" s="3" t="s">
        <v>7</v>
      </c>
      <c r="K156" s="4" t="s">
        <v>6</v>
      </c>
    </row>
    <row r="157" spans="1:11">
      <c r="A157" s="72" t="s">
        <v>19</v>
      </c>
      <c r="B157" s="16"/>
      <c r="C157" s="10"/>
      <c r="D157" s="10"/>
      <c r="E157" s="10"/>
      <c r="F157" s="10"/>
      <c r="G157" s="11"/>
      <c r="H157" s="18"/>
      <c r="I157" s="12"/>
      <c r="J157" t="s">
        <v>8</v>
      </c>
      <c r="K157" s="8">
        <v>504</v>
      </c>
    </row>
    <row r="158" spans="1:11">
      <c r="A158" s="72"/>
      <c r="B158" s="16"/>
      <c r="C158" s="10"/>
      <c r="D158" s="10"/>
      <c r="E158" s="10"/>
      <c r="F158" s="10"/>
      <c r="G158" s="11"/>
      <c r="H158" s="18"/>
      <c r="I158" s="12"/>
      <c r="J158" t="s">
        <v>20</v>
      </c>
      <c r="K158" s="8">
        <v>300</v>
      </c>
    </row>
    <row r="159" spans="1:11">
      <c r="A159" s="72"/>
      <c r="B159" s="16"/>
      <c r="C159" s="10"/>
      <c r="D159" s="10"/>
      <c r="E159" s="10"/>
      <c r="F159" s="10"/>
      <c r="G159" s="11"/>
      <c r="H159" s="18"/>
      <c r="I159" s="12"/>
      <c r="K159" s="8"/>
    </row>
    <row r="160" spans="1:11">
      <c r="A160" s="72"/>
      <c r="B160" s="16"/>
      <c r="C160" s="10"/>
      <c r="D160" s="10"/>
      <c r="E160" s="10"/>
      <c r="F160" s="10"/>
      <c r="G160" s="11"/>
      <c r="H160" s="18"/>
      <c r="I160" s="12"/>
      <c r="K160" s="14"/>
    </row>
    <row r="161" spans="1:11">
      <c r="A161" s="72"/>
      <c r="B161" s="16"/>
      <c r="C161" s="10"/>
      <c r="D161" s="10"/>
      <c r="E161" s="10"/>
      <c r="F161" s="10"/>
      <c r="G161" s="11"/>
      <c r="H161" s="18"/>
      <c r="I161" s="12"/>
      <c r="K161" s="8"/>
    </row>
    <row r="162" spans="1:11">
      <c r="A162" s="72"/>
      <c r="B162" s="16"/>
      <c r="C162" s="10"/>
      <c r="D162" s="10"/>
      <c r="E162" s="10"/>
      <c r="F162" s="10"/>
      <c r="G162" s="11"/>
      <c r="H162" s="18"/>
      <c r="I162" s="12"/>
      <c r="K162" s="8"/>
    </row>
    <row r="163" spans="1:11">
      <c r="A163" s="72"/>
      <c r="B163" s="16"/>
      <c r="C163" s="10"/>
      <c r="D163" s="10"/>
      <c r="E163" s="10"/>
      <c r="F163" s="10"/>
      <c r="G163" s="11"/>
      <c r="H163" s="18"/>
      <c r="I163" s="12"/>
      <c r="K163" s="8"/>
    </row>
    <row r="164" spans="1:11">
      <c r="A164" s="72"/>
      <c r="B164" s="16"/>
      <c r="C164" s="10"/>
      <c r="D164" s="10"/>
      <c r="E164" s="10"/>
      <c r="F164" s="10"/>
      <c r="G164" s="11"/>
      <c r="H164" s="18"/>
      <c r="I164" s="12"/>
      <c r="K164" s="8"/>
    </row>
    <row r="165" spans="1:11">
      <c r="A165" s="72"/>
      <c r="B165" s="16"/>
      <c r="C165" s="10"/>
      <c r="D165" s="10"/>
      <c r="E165" s="10"/>
      <c r="F165" s="10"/>
      <c r="G165" s="11"/>
      <c r="H165" s="18"/>
      <c r="I165" s="12"/>
      <c r="K165" s="8"/>
    </row>
    <row r="166" spans="1:11">
      <c r="A166" s="72"/>
      <c r="B166" s="16"/>
      <c r="C166" s="10"/>
      <c r="D166" s="10"/>
      <c r="E166" s="10"/>
      <c r="F166" s="10"/>
      <c r="G166" s="11"/>
      <c r="H166" s="18"/>
      <c r="I166" s="12"/>
      <c r="K166" s="8"/>
    </row>
    <row r="167" spans="1:11">
      <c r="A167" s="72"/>
      <c r="B167" s="16"/>
      <c r="C167" s="10"/>
      <c r="D167" s="10"/>
      <c r="E167" s="10"/>
      <c r="F167" s="10"/>
      <c r="G167" s="11"/>
      <c r="H167" s="18"/>
      <c r="I167" s="12"/>
      <c r="K167" s="8"/>
    </row>
    <row r="168" spans="1:11">
      <c r="A168" s="72"/>
      <c r="B168" s="16"/>
      <c r="C168" s="10"/>
      <c r="D168" s="10"/>
      <c r="E168" s="10"/>
      <c r="F168" s="10"/>
      <c r="G168" s="11"/>
      <c r="H168" s="18"/>
      <c r="I168" s="12"/>
      <c r="K168" s="14"/>
    </row>
    <row r="169" spans="1:11">
      <c r="A169" s="72"/>
      <c r="B169" s="16"/>
      <c r="C169" s="19"/>
      <c r="D169" s="10"/>
      <c r="E169" s="10"/>
      <c r="F169" s="10"/>
      <c r="G169" s="11"/>
      <c r="H169" s="18"/>
      <c r="I169" s="12"/>
      <c r="K169" s="8"/>
    </row>
    <row r="170" spans="1:11">
      <c r="A170" s="72"/>
      <c r="B170" s="10"/>
      <c r="C170" s="19"/>
      <c r="D170" s="10"/>
      <c r="E170" s="10"/>
      <c r="F170" s="10"/>
      <c r="G170" s="11"/>
      <c r="H170" s="18"/>
      <c r="I170" s="12"/>
      <c r="K170" s="8"/>
    </row>
    <row r="171" spans="1:11">
      <c r="A171" s="72"/>
      <c r="B171" s="10"/>
      <c r="C171" s="19"/>
      <c r="D171" s="10"/>
      <c r="E171" s="10"/>
      <c r="F171" s="10"/>
      <c r="G171" s="11"/>
      <c r="H171" s="18"/>
      <c r="I171" s="12"/>
      <c r="K171" s="8"/>
    </row>
    <row r="172" spans="1:11">
      <c r="A172" s="72"/>
      <c r="B172" s="10"/>
      <c r="C172" s="19"/>
      <c r="D172" s="10"/>
      <c r="E172" s="10"/>
      <c r="F172" s="10"/>
      <c r="G172" s="11"/>
      <c r="H172" s="18"/>
      <c r="I172" s="12"/>
      <c r="K172" s="8"/>
    </row>
    <row r="173" spans="1:11">
      <c r="A173" s="72"/>
      <c r="B173" s="10"/>
      <c r="C173" s="19"/>
      <c r="D173" s="10"/>
      <c r="E173" s="10"/>
      <c r="F173" s="10"/>
      <c r="G173" s="11"/>
      <c r="H173" s="18"/>
      <c r="I173" s="12"/>
      <c r="K173" s="8"/>
    </row>
    <row r="174" spans="1:11">
      <c r="A174" s="72"/>
      <c r="B174" s="20"/>
      <c r="C174" s="20"/>
      <c r="D174" s="25"/>
      <c r="E174" s="25"/>
      <c r="F174" s="25"/>
      <c r="G174" s="29"/>
      <c r="H174" s="20"/>
      <c r="I174" s="26"/>
      <c r="J174" s="21" t="s">
        <v>10</v>
      </c>
      <c r="K174" s="21">
        <f>SUM(K157:K173)</f>
        <v>804</v>
      </c>
    </row>
    <row r="177" spans="1:11" ht="36">
      <c r="B177" s="71">
        <v>46235</v>
      </c>
      <c r="C177" s="71"/>
      <c r="D177" s="71"/>
      <c r="E177" s="71"/>
      <c r="F177" s="71"/>
      <c r="G177" s="71"/>
      <c r="H177" s="71"/>
      <c r="I177" s="71"/>
      <c r="J177" s="71"/>
    </row>
    <row r="178" spans="1:11">
      <c r="A178" s="1" t="s">
        <v>11</v>
      </c>
      <c r="B178" s="1" t="s">
        <v>0</v>
      </c>
      <c r="C178" s="1" t="s">
        <v>1</v>
      </c>
      <c r="D178" s="1" t="s">
        <v>2</v>
      </c>
      <c r="E178" s="1" t="s">
        <v>3</v>
      </c>
      <c r="F178" s="1" t="s">
        <v>4</v>
      </c>
      <c r="G178" s="1" t="s">
        <v>5</v>
      </c>
      <c r="H178" s="17" t="s">
        <v>21</v>
      </c>
      <c r="I178" s="2" t="s">
        <v>6</v>
      </c>
      <c r="J178" s="3" t="s">
        <v>7</v>
      </c>
      <c r="K178" s="4" t="s">
        <v>6</v>
      </c>
    </row>
    <row r="179" spans="1:11">
      <c r="A179" s="72" t="s">
        <v>99</v>
      </c>
      <c r="B179" s="16"/>
      <c r="C179" s="10"/>
      <c r="D179" s="10"/>
      <c r="E179" s="10"/>
      <c r="F179" s="10"/>
      <c r="G179" s="11"/>
      <c r="H179" s="18"/>
      <c r="I179" s="12"/>
      <c r="J179" t="s">
        <v>8</v>
      </c>
      <c r="K179" s="8">
        <v>504</v>
      </c>
    </row>
    <row r="180" spans="1:11">
      <c r="A180" s="72"/>
      <c r="B180" s="16"/>
      <c r="C180" s="10"/>
      <c r="D180" s="10"/>
      <c r="E180" s="10"/>
      <c r="F180" s="10"/>
      <c r="G180" s="11"/>
      <c r="H180" s="18"/>
      <c r="I180" s="12"/>
      <c r="J180" t="s">
        <v>20</v>
      </c>
      <c r="K180" s="8">
        <v>300</v>
      </c>
    </row>
    <row r="181" spans="1:11">
      <c r="A181" s="72"/>
      <c r="B181" s="16"/>
      <c r="C181" s="10"/>
      <c r="D181" s="10"/>
      <c r="E181" s="10"/>
      <c r="F181" s="10"/>
      <c r="G181" s="11"/>
      <c r="H181" s="18"/>
      <c r="I181" s="12"/>
      <c r="K181" s="8"/>
    </row>
    <row r="182" spans="1:11">
      <c r="A182" s="72"/>
      <c r="B182" s="16"/>
      <c r="C182" s="10"/>
      <c r="D182" s="10"/>
      <c r="E182" s="10"/>
      <c r="F182" s="10"/>
      <c r="G182" s="11"/>
      <c r="H182" s="18"/>
      <c r="I182" s="12"/>
      <c r="K182" s="14"/>
    </row>
    <row r="183" spans="1:11">
      <c r="A183" s="72"/>
      <c r="B183" s="16"/>
      <c r="C183" s="10"/>
      <c r="D183" s="10"/>
      <c r="E183" s="10"/>
      <c r="F183" s="10"/>
      <c r="G183" s="11"/>
      <c r="H183" s="18"/>
      <c r="I183" s="12"/>
      <c r="K183" s="8"/>
    </row>
    <row r="184" spans="1:11">
      <c r="A184" s="72"/>
      <c r="B184" s="16"/>
      <c r="C184" s="10"/>
      <c r="D184" s="10"/>
      <c r="E184" s="10"/>
      <c r="F184" s="10"/>
      <c r="G184" s="11"/>
      <c r="H184" s="18"/>
      <c r="I184" s="12"/>
      <c r="K184" s="8"/>
    </row>
    <row r="185" spans="1:11">
      <c r="A185" s="72"/>
      <c r="B185" s="16"/>
      <c r="C185" s="10"/>
      <c r="D185" s="10"/>
      <c r="E185" s="10"/>
      <c r="F185" s="10"/>
      <c r="G185" s="11"/>
      <c r="H185" s="18"/>
      <c r="I185" s="12"/>
      <c r="K185" s="8"/>
    </row>
    <row r="186" spans="1:11">
      <c r="A186" s="72"/>
      <c r="B186" s="16"/>
      <c r="C186" s="10"/>
      <c r="D186" s="10"/>
      <c r="E186" s="10"/>
      <c r="F186" s="10"/>
      <c r="G186" s="31"/>
      <c r="H186" s="18"/>
      <c r="I186" s="12"/>
      <c r="K186" s="8"/>
    </row>
    <row r="187" spans="1:11">
      <c r="A187" s="72"/>
      <c r="B187" s="16"/>
      <c r="C187" s="10"/>
      <c r="D187" s="10"/>
      <c r="E187" s="10"/>
      <c r="F187" s="10"/>
      <c r="G187" s="11"/>
      <c r="H187" s="18"/>
      <c r="I187" s="12"/>
      <c r="K187" s="8"/>
    </row>
    <row r="188" spans="1:11">
      <c r="A188" s="72"/>
      <c r="B188" s="16"/>
      <c r="C188" s="10"/>
      <c r="D188" s="10"/>
      <c r="E188" s="10"/>
      <c r="F188" s="10"/>
      <c r="G188" s="11"/>
      <c r="H188" s="18"/>
      <c r="I188" s="12"/>
      <c r="K188" s="8"/>
    </row>
    <row r="189" spans="1:11">
      <c r="A189" s="72"/>
      <c r="B189" s="16"/>
      <c r="C189" s="10"/>
      <c r="D189" s="10"/>
      <c r="E189" s="10"/>
      <c r="F189" s="10"/>
      <c r="G189" s="11"/>
      <c r="H189" s="18"/>
      <c r="I189" s="12"/>
      <c r="K189" s="8"/>
    </row>
    <row r="190" spans="1:11">
      <c r="A190" s="72"/>
      <c r="B190" s="16"/>
      <c r="C190" s="10"/>
      <c r="D190" s="10"/>
      <c r="E190" s="10"/>
      <c r="F190" s="10"/>
      <c r="G190" s="11"/>
      <c r="H190" s="18"/>
      <c r="I190" s="12"/>
      <c r="K190" s="14"/>
    </row>
    <row r="191" spans="1:11">
      <c r="A191" s="72"/>
      <c r="B191" s="16"/>
      <c r="C191" s="10"/>
      <c r="D191" s="10"/>
      <c r="E191" s="10"/>
      <c r="F191" s="10"/>
      <c r="G191" s="11"/>
      <c r="H191" s="18"/>
      <c r="I191" s="12"/>
      <c r="K191" s="8"/>
    </row>
    <row r="192" spans="1:11">
      <c r="A192" s="72"/>
      <c r="B192" s="16"/>
      <c r="C192" s="10"/>
      <c r="D192" s="10"/>
      <c r="E192" s="10"/>
      <c r="F192" s="10"/>
      <c r="G192" s="11"/>
      <c r="H192" s="18"/>
      <c r="I192" s="12"/>
      <c r="K192" s="8"/>
    </row>
    <row r="193" spans="1:11">
      <c r="A193" s="72"/>
      <c r="B193" s="16"/>
      <c r="C193" s="10"/>
      <c r="D193" s="10"/>
      <c r="E193" s="10"/>
      <c r="F193" s="10"/>
      <c r="G193" s="11"/>
      <c r="H193" s="18"/>
      <c r="I193" s="12"/>
      <c r="K193" s="8"/>
    </row>
    <row r="194" spans="1:11">
      <c r="A194" s="72"/>
      <c r="B194" s="16"/>
      <c r="C194" s="10"/>
      <c r="D194" s="10"/>
      <c r="E194" s="10"/>
      <c r="F194" s="10"/>
      <c r="G194" s="11"/>
      <c r="H194" s="18"/>
      <c r="I194" s="12"/>
      <c r="K194" s="8"/>
    </row>
    <row r="195" spans="1:11">
      <c r="A195" s="72"/>
      <c r="B195" s="16"/>
      <c r="C195" s="10"/>
      <c r="D195" s="10"/>
      <c r="E195" s="10"/>
      <c r="F195" s="10"/>
      <c r="G195" s="11"/>
      <c r="H195" s="18"/>
      <c r="I195" s="12"/>
      <c r="K195" s="8"/>
    </row>
    <row r="196" spans="1:11">
      <c r="A196" s="72"/>
      <c r="B196" s="23"/>
      <c r="C196" s="23"/>
      <c r="D196" s="23"/>
      <c r="E196" s="23"/>
      <c r="F196" s="23"/>
      <c r="G196" s="30"/>
      <c r="H196" s="23"/>
      <c r="I196" s="27"/>
      <c r="J196" s="21" t="s">
        <v>10</v>
      </c>
      <c r="K196" s="21">
        <f>SUM(K179:K195)</f>
        <v>804</v>
      </c>
    </row>
    <row r="199" spans="1:11" ht="36">
      <c r="B199" s="71">
        <v>46235</v>
      </c>
      <c r="C199" s="71"/>
      <c r="D199" s="71"/>
      <c r="E199" s="71"/>
      <c r="F199" s="71"/>
      <c r="G199" s="71"/>
      <c r="H199" s="71"/>
      <c r="I199" s="71"/>
      <c r="J199" s="71"/>
    </row>
    <row r="200" spans="1:11">
      <c r="A200" s="1" t="s">
        <v>11</v>
      </c>
      <c r="B200" s="1" t="s">
        <v>0</v>
      </c>
      <c r="C200" s="1" t="s">
        <v>1</v>
      </c>
      <c r="D200" s="1" t="s">
        <v>2</v>
      </c>
      <c r="E200" s="1" t="s">
        <v>3</v>
      </c>
      <c r="F200" s="1" t="s">
        <v>4</v>
      </c>
      <c r="G200" s="1" t="s">
        <v>5</v>
      </c>
      <c r="H200" s="17" t="s">
        <v>21</v>
      </c>
      <c r="I200" s="2" t="s">
        <v>6</v>
      </c>
      <c r="J200" s="3" t="s">
        <v>7</v>
      </c>
      <c r="K200" s="4" t="s">
        <v>6</v>
      </c>
    </row>
    <row r="201" spans="1:11">
      <c r="A201" s="72" t="s">
        <v>110</v>
      </c>
      <c r="B201" s="16"/>
      <c r="C201" s="10"/>
      <c r="D201" s="10"/>
      <c r="E201" s="10"/>
      <c r="F201" s="10"/>
      <c r="G201" s="11"/>
      <c r="H201" s="18"/>
      <c r="I201" s="12"/>
      <c r="J201" t="s">
        <v>8</v>
      </c>
      <c r="K201" s="8">
        <v>504</v>
      </c>
    </row>
    <row r="202" spans="1:11">
      <c r="A202" s="72"/>
      <c r="B202" s="16"/>
      <c r="C202" s="10"/>
      <c r="D202" s="10"/>
      <c r="E202" s="10"/>
      <c r="F202" s="10"/>
      <c r="G202" s="11"/>
      <c r="H202" s="18"/>
      <c r="I202" s="12"/>
      <c r="J202" t="s">
        <v>20</v>
      </c>
      <c r="K202" s="8">
        <v>300</v>
      </c>
    </row>
    <row r="203" spans="1:11">
      <c r="A203" s="72"/>
      <c r="B203" s="16"/>
      <c r="C203" s="10"/>
      <c r="D203" s="10"/>
      <c r="E203" s="10"/>
      <c r="F203" s="10"/>
      <c r="G203" s="11"/>
      <c r="H203" s="18"/>
      <c r="I203" s="12"/>
      <c r="K203" s="8"/>
    </row>
    <row r="204" spans="1:11">
      <c r="A204" s="72"/>
      <c r="B204" s="16"/>
      <c r="C204" s="10"/>
      <c r="D204" s="10"/>
      <c r="E204" s="10"/>
      <c r="F204" s="10"/>
      <c r="G204" s="11"/>
      <c r="H204" s="18"/>
      <c r="I204" s="12"/>
      <c r="K204" s="14"/>
    </row>
    <row r="205" spans="1:11">
      <c r="A205" s="72"/>
      <c r="B205" s="16"/>
      <c r="C205" s="10"/>
      <c r="D205" s="10"/>
      <c r="E205" s="10"/>
      <c r="F205" s="10"/>
      <c r="G205" s="11"/>
      <c r="H205" s="18"/>
      <c r="I205" s="12"/>
      <c r="K205" s="8"/>
    </row>
    <row r="206" spans="1:11">
      <c r="A206" s="72"/>
      <c r="B206" s="16"/>
      <c r="C206" s="10"/>
      <c r="D206" s="10"/>
      <c r="E206" s="10"/>
      <c r="F206" s="10"/>
      <c r="G206" s="11"/>
      <c r="H206" s="18"/>
      <c r="I206" s="12"/>
      <c r="K206" s="8"/>
    </row>
    <row r="207" spans="1:11">
      <c r="A207" s="72"/>
      <c r="B207" s="16"/>
      <c r="C207" s="10"/>
      <c r="D207" s="10"/>
      <c r="E207" s="10"/>
      <c r="F207" s="10"/>
      <c r="G207" s="11"/>
      <c r="H207" s="18"/>
      <c r="I207" s="12"/>
      <c r="K207" s="8"/>
    </row>
    <row r="208" spans="1:11">
      <c r="A208" s="72"/>
      <c r="B208" s="16"/>
      <c r="C208" s="10"/>
      <c r="D208" s="10"/>
      <c r="E208" s="10"/>
      <c r="F208" s="10"/>
      <c r="G208" s="11"/>
      <c r="H208" s="18"/>
      <c r="I208" s="12"/>
      <c r="K208" s="8"/>
    </row>
    <row r="209" spans="1:11">
      <c r="A209" s="72"/>
      <c r="B209" s="16"/>
      <c r="C209" s="10"/>
      <c r="D209" s="10"/>
      <c r="E209" s="10"/>
      <c r="F209" s="10"/>
      <c r="G209" s="11"/>
      <c r="H209" s="18"/>
      <c r="I209" s="12"/>
      <c r="K209" s="8"/>
    </row>
    <row r="210" spans="1:11">
      <c r="A210" s="72"/>
      <c r="B210" s="16"/>
      <c r="C210" s="10"/>
      <c r="D210" s="10"/>
      <c r="E210" s="10"/>
      <c r="F210" s="10"/>
      <c r="G210" s="11"/>
      <c r="H210" s="18"/>
      <c r="I210" s="12"/>
      <c r="K210" s="8"/>
    </row>
    <row r="211" spans="1:11">
      <c r="A211" s="72"/>
      <c r="B211" s="16"/>
      <c r="C211" s="10"/>
      <c r="D211" s="10"/>
      <c r="E211" s="10"/>
      <c r="F211" s="10"/>
      <c r="G211" s="11"/>
      <c r="H211" s="18"/>
      <c r="I211" s="12"/>
      <c r="K211" s="8"/>
    </row>
    <row r="212" spans="1:11">
      <c r="A212" s="72"/>
      <c r="B212" s="16"/>
      <c r="C212" s="10"/>
      <c r="D212" s="10"/>
      <c r="E212" s="10"/>
      <c r="F212" s="10"/>
      <c r="G212" s="11"/>
      <c r="H212" s="18"/>
      <c r="I212" s="12"/>
      <c r="K212" s="14"/>
    </row>
    <row r="213" spans="1:11">
      <c r="A213" s="72"/>
      <c r="B213" s="16"/>
      <c r="C213" s="19"/>
      <c r="D213" s="10"/>
      <c r="E213" s="10"/>
      <c r="F213" s="10"/>
      <c r="G213" s="11"/>
      <c r="H213" s="18"/>
      <c r="I213" s="12"/>
      <c r="K213" s="8"/>
    </row>
    <row r="214" spans="1:11">
      <c r="A214" s="72"/>
      <c r="B214" s="10"/>
      <c r="C214" s="19"/>
      <c r="D214" s="10"/>
      <c r="E214" s="10"/>
      <c r="F214" s="10"/>
      <c r="G214" s="11"/>
      <c r="H214" s="18"/>
      <c r="I214" s="12"/>
      <c r="K214" s="8"/>
    </row>
    <row r="215" spans="1:11">
      <c r="A215" s="72"/>
      <c r="B215" s="10"/>
      <c r="C215" s="19"/>
      <c r="D215" s="10"/>
      <c r="E215" s="10"/>
      <c r="F215" s="10"/>
      <c r="G215" s="11"/>
      <c r="H215" s="18"/>
      <c r="I215" s="12"/>
      <c r="K215" s="8"/>
    </row>
    <row r="216" spans="1:11">
      <c r="A216" s="72"/>
      <c r="B216" s="10"/>
      <c r="C216" s="19"/>
      <c r="D216" s="10"/>
      <c r="E216" s="10"/>
      <c r="F216" s="10"/>
      <c r="G216" s="11"/>
      <c r="H216" s="18"/>
      <c r="I216" s="12"/>
      <c r="K216" s="8"/>
    </row>
    <row r="217" spans="1:11">
      <c r="A217" s="72"/>
      <c r="B217" s="10"/>
      <c r="C217" s="19"/>
      <c r="D217" s="10"/>
      <c r="E217" s="10"/>
      <c r="F217" s="10"/>
      <c r="G217" s="11"/>
      <c r="H217" s="18"/>
      <c r="I217" s="12"/>
      <c r="K217" s="8"/>
    </row>
    <row r="218" spans="1:11">
      <c r="A218" s="72"/>
      <c r="B218" s="20"/>
      <c r="C218" s="20"/>
      <c r="D218" s="25"/>
      <c r="E218" s="25">
        <f>SUM(E201:E217)</f>
        <v>0</v>
      </c>
      <c r="F218" s="25">
        <f>SUM(F201:F217)</f>
        <v>0</v>
      </c>
      <c r="G218" s="29" t="e">
        <f>Table269121420304054708298112610141822263094150[[#This Row],[KM Rodado]]/Table269121420304054708298112610141822263094150[[#This Row],[Consumo Lt]]</f>
        <v>#DIV/0!</v>
      </c>
      <c r="H218" s="20"/>
      <c r="I218" s="26">
        <f>SUM(I201:I217)</f>
        <v>0</v>
      </c>
      <c r="J218" s="21" t="s">
        <v>10</v>
      </c>
      <c r="K218" s="21">
        <f>SUM(K201:K217)</f>
        <v>804</v>
      </c>
    </row>
  </sheetData>
  <mergeCells count="20">
    <mergeCell ref="A113:A130"/>
    <mergeCell ref="B1:J1"/>
    <mergeCell ref="A3:A20"/>
    <mergeCell ref="B23:J23"/>
    <mergeCell ref="A25:A42"/>
    <mergeCell ref="B45:J45"/>
    <mergeCell ref="A47:A64"/>
    <mergeCell ref="B67:J67"/>
    <mergeCell ref="A69:A86"/>
    <mergeCell ref="B89:J89"/>
    <mergeCell ref="A91:A108"/>
    <mergeCell ref="B111:J111"/>
    <mergeCell ref="B199:J199"/>
    <mergeCell ref="A201:A218"/>
    <mergeCell ref="B133:J133"/>
    <mergeCell ref="A135:A152"/>
    <mergeCell ref="B155:J155"/>
    <mergeCell ref="A157:A174"/>
    <mergeCell ref="B177:J177"/>
    <mergeCell ref="A179:A196"/>
  </mergeCells>
  <pageMargins left="0.511811024" right="0.511811024" top="0.78740157499999996" bottom="0.78740157499999996" header="0.31496062000000002" footer="0.31496062000000002"/>
  <tableParts count="20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THIAGO-2026</vt:lpstr>
      <vt:lpstr>AGO-DEZ-26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thiago.jci@outlook.com.br</dc:creator>
  <cp:lastModifiedBy>Agatha Informática</cp:lastModifiedBy>
  <dcterms:created xsi:type="dcterms:W3CDTF">2026-01-15T15:22:56Z</dcterms:created>
  <dcterms:modified xsi:type="dcterms:W3CDTF">2026-07-14T00:33:51Z</dcterms:modified>
</cp:coreProperties>
</file>